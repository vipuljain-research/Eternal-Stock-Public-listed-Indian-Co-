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2.xml" ContentType="application/vnd.ms-excel.person+xml"/>
  <Override PartName="/xl/persons/person5.xml" ContentType="application/vnd.ms-excel.person+xml"/>
  <Override PartName="/xl/persons/person1.xml" ContentType="application/vnd.ms-excel.person+xml"/>
  <Override PartName="/xl/persons/person4.xml" ContentType="application/vnd.ms-excel.person+xml"/>
  <Override PartName="/xl/persons/person.xml" ContentType="application/vnd.ms-excel.person+xml"/>
  <Override PartName="/xl/persons/person0.xml" ContentType="application/vnd.ms-excel.person+xml"/>
  <Override PartName="/xl/persons/person3.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1147591A-A04D-43BF-A7FE-6CA64B3DE8CF}" xr6:coauthVersionLast="47" xr6:coauthVersionMax="47" xr10:uidLastSave="{00000000-0000-0000-0000-000000000000}"/>
  <bookViews>
    <workbookView xWindow="-120" yWindow="-120" windowWidth="20640" windowHeight="11160" firstSheet="13" activeTab="13" xr2:uid="{681D4E7E-07E3-4F55-B162-6D54E5A52FE2}"/>
  </bookViews>
  <sheets>
    <sheet name="Cover" sheetId="2" r:id="rId1"/>
    <sheet name="Index" sheetId="22" r:id="rId2"/>
    <sheet name="Assumptions" sheetId="3" r:id="rId3"/>
    <sheet name="Revenue Schedule" sheetId="4" r:id="rId4"/>
    <sheet name="Cost Schedule" sheetId="17" r:id="rId5"/>
    <sheet name="IS" sheetId="5" r:id="rId6"/>
    <sheet name="FA_Schedule" sheetId="14" r:id="rId7"/>
    <sheet name="Lease_Schedule" sheetId="15" r:id="rId8"/>
    <sheet name="Tax_Schedule" sheetId="33" r:id="rId9"/>
    <sheet name="WC_Schedule" sheetId="16" r:id="rId10"/>
    <sheet name="Other Income Schedule " sheetId="25" r:id="rId11"/>
    <sheet name="ESOP Schedule" sheetId="26" r:id="rId12"/>
    <sheet name="BS" sheetId="6" r:id="rId13"/>
    <sheet name="CFS" sheetId="7" r:id="rId14"/>
    <sheet name="OpMetrics" sheetId="18" r:id="rId15"/>
    <sheet name="Ratios" sheetId="12" r:id="rId16"/>
    <sheet name="ERP &amp; Rf" sheetId="20" r:id="rId17"/>
    <sheet name="Beta Calc" sheetId="19" r:id="rId18"/>
    <sheet name="Share Count &amp; Dilution" sheetId="27" r:id="rId19"/>
    <sheet name="DCF" sheetId="8" r:id="rId20"/>
    <sheet name="SOTP" sheetId="9" r:id="rId21"/>
    <sheet name="Sensitivity" sheetId="10" r:id="rId22"/>
    <sheet name="Scenarios" sheetId="11" r:id="rId23"/>
    <sheet name="Dashboard" sheetId="29" r:id="rId24"/>
    <sheet name="Memo" sheetId="31" r:id="rId25"/>
    <sheet name="Variant_View" sheetId="30" r:id="rId26"/>
    <sheet name="Reverse_DCF" sheetId="28" r:id="rId27"/>
    <sheet name="Comparable" sheetId="21" r:id="rId28"/>
    <sheet name="Data_Sources" sheetId="13" r:id="rId29"/>
    <sheet name="Checks" sheetId="32" r:id="rId30"/>
    <sheet name="Change_Log" sheetId="34" r:id="rId3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50" i="34" l="1"/>
  <c r="C50" i="34"/>
  <c r="D50" i="34"/>
  <c r="E50" i="34"/>
  <c r="F50" i="34"/>
  <c r="G50" i="34"/>
  <c r="H50" i="34"/>
  <c r="I50" i="34"/>
  <c r="J50" i="34"/>
  <c r="K50" i="34"/>
  <c r="L50" i="34"/>
  <c r="M50" i="34"/>
  <c r="B49" i="34"/>
  <c r="C49" i="34"/>
  <c r="D49" i="34"/>
  <c r="E49" i="34"/>
  <c r="F49" i="34"/>
  <c r="G49" i="34"/>
  <c r="H49" i="34"/>
  <c r="I49" i="34"/>
  <c r="J49" i="34"/>
  <c r="K49" i="34"/>
  <c r="L49" i="34"/>
  <c r="M49" i="34"/>
  <c r="B48" i="34"/>
  <c r="C48" i="34"/>
  <c r="D48" i="34"/>
  <c r="E48" i="34"/>
  <c r="F48" i="34"/>
  <c r="G48" i="34"/>
  <c r="H48" i="34"/>
  <c r="I48" i="34"/>
  <c r="J48" i="34"/>
  <c r="K48" i="34"/>
  <c r="L48" i="34"/>
  <c r="M48" i="34"/>
  <c r="C37" i="34"/>
  <c r="D37" i="34"/>
  <c r="C38" i="34"/>
  <c r="D38" i="34"/>
  <c r="C39" i="34"/>
  <c r="D39" i="34"/>
  <c r="C40" i="34"/>
  <c r="C41" i="34"/>
  <c r="C42" i="34"/>
  <c r="C43" i="34"/>
  <c r="C44" i="34"/>
  <c r="C45" i="34"/>
  <c r="D5" i="34"/>
  <c r="D6" i="34"/>
  <c r="A59" i="18"/>
  <c r="A55" i="14"/>
  <c r="A64" i="18"/>
  <c r="A37" i="16"/>
  <c r="E28" i="30"/>
  <c r="E26" i="30"/>
  <c r="E21" i="30"/>
  <c r="E19" i="30"/>
  <c r="E18" i="30"/>
  <c r="E17" i="30"/>
  <c r="E16" i="30"/>
  <c r="E15" i="30"/>
  <c r="E14" i="30"/>
  <c r="E13" i="30"/>
  <c r="E12" i="30"/>
  <c r="E9" i="30"/>
  <c r="E8" i="30"/>
  <c r="E7" i="30"/>
  <c r="E6" i="30"/>
  <c r="E5" i="30"/>
  <c r="B45" i="31"/>
  <c r="B41" i="31"/>
  <c r="B37" i="31"/>
  <c r="B33" i="31"/>
  <c r="B31" i="31"/>
  <c r="B30" i="31"/>
  <c r="B18" i="31"/>
  <c r="B13" i="31"/>
  <c r="B12" i="31"/>
  <c r="A26" i="2"/>
  <c r="A76" i="9"/>
  <c r="P16" i="27"/>
  <c r="C43" i="29"/>
  <c r="A68" i="29"/>
  <c r="C67" i="29"/>
  <c r="A66" i="29"/>
  <c r="A65" i="29"/>
  <c r="C59" i="29"/>
  <c r="C57" i="29"/>
  <c r="C53" i="29"/>
  <c r="C52" i="29"/>
  <c r="C51" i="29"/>
  <c r="C50" i="29"/>
  <c r="C49" i="29"/>
  <c r="C48" i="29"/>
  <c r="C47" i="29"/>
  <c r="C46" i="29"/>
  <c r="C35" i="29"/>
  <c r="C34" i="29"/>
  <c r="C33" i="29"/>
  <c r="C20" i="29"/>
  <c r="C14" i="29"/>
  <c r="C13" i="29"/>
  <c r="C12" i="29"/>
  <c r="A23" i="2"/>
  <c r="A20" i="2"/>
  <c r="A4" i="2"/>
  <c r="B37" i="32"/>
  <c r="B38" i="32"/>
  <c r="B39" i="32"/>
  <c r="B40" i="32"/>
  <c r="B41" i="32"/>
  <c r="B42" i="32"/>
  <c r="B43" i="32"/>
  <c r="B44" i="32"/>
  <c r="C33" i="32"/>
  <c r="C32" i="32"/>
  <c r="B31" i="32"/>
  <c r="C30" i="32"/>
  <c r="B30" i="32"/>
  <c r="C29" i="32"/>
  <c r="B29" i="32"/>
  <c r="C18" i="32"/>
  <c r="C17" i="32"/>
  <c r="C16" i="32"/>
  <c r="C13" i="32"/>
  <c r="B13" i="32"/>
  <c r="C12" i="32"/>
  <c r="C11" i="32"/>
  <c r="C10" i="32"/>
  <c r="B10" i="32"/>
  <c r="C9" i="32"/>
  <c r="B9" i="32"/>
  <c r="F15" i="16"/>
  <c r="P19" i="18"/>
  <c r="D19" i="18"/>
  <c r="E19" i="18"/>
  <c r="F19" i="18"/>
  <c r="G19" i="18"/>
  <c r="C48" i="18"/>
  <c r="D48" i="18"/>
  <c r="E48" i="18"/>
  <c r="F48" i="18"/>
  <c r="B39" i="29"/>
  <c r="B40" i="29"/>
  <c r="B29" i="29"/>
  <c r="P41" i="3"/>
  <c r="P85" i="3"/>
  <c r="P53" i="3"/>
  <c r="P52" i="3"/>
  <c r="P50" i="3"/>
  <c r="P49" i="3"/>
  <c r="P71" i="3"/>
  <c r="P69" i="3"/>
  <c r="P127" i="3"/>
  <c r="P126" i="3"/>
  <c r="P141" i="3"/>
  <c r="P136" i="3"/>
  <c r="P135" i="3"/>
  <c r="P140" i="3"/>
  <c r="P138" i="3"/>
  <c r="P119" i="3"/>
  <c r="P51" i="3"/>
  <c r="P31" i="3"/>
  <c r="P29" i="3"/>
  <c r="P28" i="3"/>
  <c r="P20" i="3"/>
  <c r="B47" i="8"/>
  <c r="C35" i="8"/>
  <c r="B35" i="8"/>
  <c r="B13" i="19"/>
  <c r="B20" i="28"/>
  <c r="B13" i="20"/>
  <c r="H91" i="3"/>
  <c r="I91" i="3"/>
  <c r="J91" i="3"/>
  <c r="K91" i="3"/>
  <c r="L91" i="3"/>
  <c r="M91" i="3"/>
  <c r="N91" i="3"/>
  <c r="O91" i="3"/>
  <c r="H27" i="5"/>
  <c r="H12" i="33"/>
  <c r="H11" i="33"/>
  <c r="H10" i="33"/>
  <c r="I10" i="33"/>
  <c r="J10" i="33"/>
  <c r="K10" i="33"/>
  <c r="L10" i="33"/>
  <c r="M10" i="33"/>
  <c r="N10" i="33"/>
  <c r="O10" i="33"/>
  <c r="H9" i="33"/>
  <c r="H8" i="33"/>
  <c r="H7" i="33"/>
  <c r="H6" i="33"/>
  <c r="H5" i="33"/>
  <c r="I5" i="33"/>
  <c r="H4" i="33"/>
  <c r="D2" i="33"/>
  <c r="E2" i="33"/>
  <c r="F2" i="33"/>
  <c r="G2" i="33"/>
  <c r="H2" i="33"/>
  <c r="I2" i="33"/>
  <c r="J2" i="33"/>
  <c r="K2" i="33"/>
  <c r="L2" i="33"/>
  <c r="M2" i="33"/>
  <c r="N2" i="33"/>
  <c r="O2" i="33"/>
  <c r="F91" i="3"/>
  <c r="G91" i="3"/>
  <c r="G71" i="3"/>
  <c r="H50" i="3"/>
  <c r="I50" i="3"/>
  <c r="J50" i="3"/>
  <c r="K50" i="3"/>
  <c r="L50" i="3"/>
  <c r="M50" i="3"/>
  <c r="N50" i="3"/>
  <c r="O50" i="3"/>
  <c r="C14" i="11"/>
  <c r="D11" i="9"/>
  <c r="C4" i="9"/>
  <c r="C5" i="9"/>
  <c r="C6" i="9"/>
  <c r="C7" i="9"/>
  <c r="C8" i="9"/>
  <c r="B148" i="3"/>
  <c r="B149" i="3"/>
  <c r="B150" i="3"/>
  <c r="E30" i="21"/>
  <c r="F31" i="21"/>
  <c r="B29" i="21"/>
  <c r="C29" i="21"/>
  <c r="E29" i="21" s="1"/>
  <c r="D29" i="21"/>
  <c r="F29" i="21"/>
  <c r="B28" i="21"/>
  <c r="C28" i="21"/>
  <c r="D28" i="21"/>
  <c r="E28" i="21"/>
  <c r="F28" i="21"/>
  <c r="B27" i="21"/>
  <c r="C27" i="21"/>
  <c r="D27" i="21"/>
  <c r="E27" i="21" s="1"/>
  <c r="F27" i="21"/>
  <c r="B26" i="21"/>
  <c r="C26" i="21"/>
  <c r="D26" i="21"/>
  <c r="E26" i="21"/>
  <c r="F26" i="21"/>
  <c r="D59" i="5"/>
  <c r="E59" i="5"/>
  <c r="F59" i="5"/>
  <c r="G59" i="5"/>
  <c r="D18" i="5"/>
  <c r="E18" i="5"/>
  <c r="F18" i="5"/>
  <c r="G18" i="5"/>
  <c r="H18" i="5"/>
  <c r="I18" i="5"/>
  <c r="J18" i="5"/>
  <c r="K18" i="5"/>
  <c r="L18" i="5"/>
  <c r="M18" i="5"/>
  <c r="N18" i="5"/>
  <c r="O18" i="5"/>
  <c r="D21" i="17"/>
  <c r="E21" i="17"/>
  <c r="F21" i="17"/>
  <c r="G21" i="17"/>
  <c r="H21" i="17"/>
  <c r="I21" i="17"/>
  <c r="J21" i="17"/>
  <c r="K21" i="17"/>
  <c r="L21" i="17"/>
  <c r="M21" i="17"/>
  <c r="N21" i="17"/>
  <c r="O21" i="17"/>
  <c r="H12" i="17"/>
  <c r="I12" i="17"/>
  <c r="J12" i="17"/>
  <c r="K12" i="17"/>
  <c r="L12" i="17"/>
  <c r="M12" i="17"/>
  <c r="N12" i="17"/>
  <c r="O12" i="17"/>
  <c r="H77" i="3"/>
  <c r="I77" i="3" s="1"/>
  <c r="J77" i="3" s="1"/>
  <c r="K77" i="3" s="1"/>
  <c r="L77" i="3" s="1"/>
  <c r="M77" i="3" s="1"/>
  <c r="N77" i="3" s="1"/>
  <c r="O77" i="3" s="1"/>
  <c r="D77" i="3"/>
  <c r="E77" i="3"/>
  <c r="F77" i="3"/>
  <c r="G77" i="3"/>
  <c r="G84" i="4"/>
  <c r="H84" i="4"/>
  <c r="I84" i="4"/>
  <c r="J84" i="4"/>
  <c r="K84" i="4"/>
  <c r="L84" i="4"/>
  <c r="M84" i="4"/>
  <c r="N84" i="4"/>
  <c r="G83" i="4"/>
  <c r="H83" i="4" s="1"/>
  <c r="I83" i="4" s="1"/>
  <c r="J83" i="4" s="1"/>
  <c r="K83" i="4" s="1"/>
  <c r="L83" i="4" s="1"/>
  <c r="M83" i="4" s="1"/>
  <c r="N83" i="4" s="1"/>
  <c r="H20" i="3"/>
  <c r="G66" i="4" s="1"/>
  <c r="I20" i="3"/>
  <c r="H66" i="4" s="1"/>
  <c r="J20" i="3"/>
  <c r="I66" i="4" s="1"/>
  <c r="K20" i="3"/>
  <c r="J66" i="4" s="1"/>
  <c r="L20" i="3"/>
  <c r="K66" i="4" s="1"/>
  <c r="M20" i="3"/>
  <c r="L66" i="4" s="1"/>
  <c r="N20" i="3"/>
  <c r="M66" i="4" s="1"/>
  <c r="O20" i="3"/>
  <c r="N66" i="4" s="1"/>
  <c r="E24" i="15"/>
  <c r="D57" i="5"/>
  <c r="E22" i="15"/>
  <c r="E24" i="7" s="1"/>
  <c r="E6" i="15"/>
  <c r="E56" i="5"/>
  <c r="F56" i="5"/>
  <c r="G56" i="5"/>
  <c r="E23" i="15"/>
  <c r="F23" i="15"/>
  <c r="D24" i="7"/>
  <c r="G24" i="7"/>
  <c r="H24" i="7"/>
  <c r="I24" i="7"/>
  <c r="J24" i="7"/>
  <c r="K24" i="7"/>
  <c r="L24" i="7"/>
  <c r="M24" i="7"/>
  <c r="N24" i="7"/>
  <c r="O24" i="7"/>
  <c r="E34" i="6"/>
  <c r="F34" i="6"/>
  <c r="G34" i="6"/>
  <c r="D33" i="6"/>
  <c r="E33" i="6"/>
  <c r="F33" i="6"/>
  <c r="G33" i="6"/>
  <c r="H9" i="6"/>
  <c r="I9" i="6"/>
  <c r="J9" i="6"/>
  <c r="K9" i="6"/>
  <c r="L9" i="6"/>
  <c r="M9" i="6"/>
  <c r="N9" i="6"/>
  <c r="O9" i="6"/>
  <c r="F9" i="6"/>
  <c r="G9" i="6"/>
  <c r="E6" i="6"/>
  <c r="D11" i="7"/>
  <c r="E11" i="7"/>
  <c r="F11" i="7"/>
  <c r="G11" i="7"/>
  <c r="D10" i="7"/>
  <c r="E10" i="7"/>
  <c r="F10" i="7"/>
  <c r="G10" i="7"/>
  <c r="H10" i="7"/>
  <c r="I10" i="7"/>
  <c r="J10" i="7"/>
  <c r="K10" i="7"/>
  <c r="L10" i="7"/>
  <c r="M10" i="7"/>
  <c r="N10" i="7"/>
  <c r="O10" i="7"/>
  <c r="G23" i="14"/>
  <c r="H23" i="14"/>
  <c r="I23" i="14"/>
  <c r="J23" i="14"/>
  <c r="K23" i="14"/>
  <c r="L23" i="14"/>
  <c r="M23" i="14"/>
  <c r="N23" i="14"/>
  <c r="G21" i="14"/>
  <c r="H21" i="14"/>
  <c r="I21" i="14"/>
  <c r="J21" i="14"/>
  <c r="K21" i="14"/>
  <c r="L21" i="14"/>
  <c r="M21" i="14"/>
  <c r="N21" i="14"/>
  <c r="D21" i="21"/>
  <c r="E21" i="21"/>
  <c r="F21" i="21"/>
  <c r="D19" i="21"/>
  <c r="D20" i="21" s="1"/>
  <c r="F19" i="21"/>
  <c r="D13" i="21"/>
  <c r="E13" i="21"/>
  <c r="F13" i="21"/>
  <c r="D9" i="21"/>
  <c r="B21" i="21"/>
  <c r="C21" i="21"/>
  <c r="B20" i="21"/>
  <c r="B13" i="21"/>
  <c r="C13" i="21"/>
  <c r="B9" i="21"/>
  <c r="B19" i="28" l="1"/>
  <c r="D59" i="9"/>
  <c r="G14" i="14"/>
  <c r="H14" i="14"/>
  <c r="I14" i="14"/>
  <c r="J14" i="14"/>
  <c r="K14" i="14"/>
  <c r="L14" i="14"/>
  <c r="M14" i="14"/>
  <c r="N14" i="14"/>
  <c r="O27" i="3"/>
  <c r="O28" i="3" s="1"/>
  <c r="N27" i="3"/>
  <c r="N28" i="3" s="1"/>
  <c r="M27" i="3"/>
  <c r="M28" i="3" s="1"/>
  <c r="L27" i="3"/>
  <c r="L28" i="3" s="1"/>
  <c r="K27" i="3"/>
  <c r="K28" i="3" s="1"/>
  <c r="J27" i="3"/>
  <c r="J28" i="3" s="1"/>
  <c r="I27" i="3"/>
  <c r="I28" i="3" s="1"/>
  <c r="H27" i="3"/>
  <c r="H28" i="3" s="1"/>
  <c r="F27" i="3"/>
  <c r="D30" i="3"/>
  <c r="D27" i="3"/>
  <c r="D28" i="3" s="1"/>
  <c r="F28" i="3" l="1"/>
  <c r="C52" i="13" l="1"/>
  <c r="C51" i="13"/>
  <c r="C50" i="13"/>
  <c r="C49" i="13"/>
  <c r="C48" i="13"/>
  <c r="C46" i="13"/>
  <c r="C21" i="2"/>
  <c r="C54" i="18"/>
  <c r="C32" i="18"/>
  <c r="C28" i="18"/>
  <c r="C25" i="32"/>
  <c r="B9" i="30"/>
  <c r="B4" i="29"/>
  <c r="B19" i="29" s="1"/>
  <c r="B40" i="11"/>
  <c r="B25" i="32" s="1"/>
  <c r="A39" i="28"/>
  <c r="A40" i="28" s="1"/>
  <c r="A41" i="28" s="1"/>
  <c r="A42" i="28" s="1"/>
  <c r="A43" i="28" s="1"/>
  <c r="A44" i="28" s="1"/>
  <c r="A45" i="28" s="1"/>
  <c r="A46" i="28" s="1"/>
  <c r="A47" i="28" s="1"/>
  <c r="A48" i="28" s="1"/>
  <c r="A49" i="28" s="1"/>
  <c r="A50" i="28" s="1"/>
  <c r="A51" i="28" s="1"/>
  <c r="A52" i="28" s="1"/>
  <c r="A53" i="28" s="1"/>
  <c r="A54" i="28" s="1"/>
  <c r="A55" i="28" s="1"/>
  <c r="A56" i="28" s="1"/>
  <c r="A57" i="28" s="1"/>
  <c r="A58" i="28" s="1"/>
  <c r="A59" i="28" s="1"/>
  <c r="A60" i="28" s="1"/>
  <c r="A61" i="28" s="1"/>
  <c r="A62" i="28" s="1"/>
  <c r="A63" i="28" s="1"/>
  <c r="A64" i="28" s="1"/>
  <c r="A65" i="28" s="1"/>
  <c r="A66" i="28" s="1"/>
  <c r="A67" i="28" s="1"/>
  <c r="A68" i="28" s="1"/>
  <c r="A69" i="28" s="1"/>
  <c r="A70" i="28" s="1"/>
  <c r="A71" i="28" s="1"/>
  <c r="A72" i="28" s="1"/>
  <c r="A73" i="28" s="1"/>
  <c r="A74" i="28" s="1"/>
  <c r="B5" i="28"/>
  <c r="B4" i="28"/>
  <c r="D18" i="9"/>
  <c r="G5" i="16"/>
  <c r="F5" i="16"/>
  <c r="E5" i="16"/>
  <c r="D5" i="16"/>
  <c r="G13" i="25"/>
  <c r="F13" i="25"/>
  <c r="E13" i="25"/>
  <c r="D13" i="25"/>
  <c r="G36" i="5"/>
  <c r="F36" i="5"/>
  <c r="E36" i="5"/>
  <c r="E35" i="5"/>
  <c r="D36" i="5"/>
  <c r="D35" i="5"/>
  <c r="G24" i="15"/>
  <c r="F24" i="15"/>
  <c r="D24" i="15"/>
  <c r="G18" i="15"/>
  <c r="F18" i="15"/>
  <c r="E18" i="15"/>
  <c r="D18" i="15"/>
  <c r="G15" i="15"/>
  <c r="F15" i="15"/>
  <c r="E15" i="15"/>
  <c r="D15" i="15"/>
  <c r="G6" i="15"/>
  <c r="D37" i="5" l="1"/>
  <c r="E37" i="5"/>
  <c r="C33" i="18"/>
  <c r="B6" i="28"/>
  <c r="C55" i="18"/>
  <c r="G14" i="27" l="1"/>
  <c r="F14" i="27"/>
  <c r="E14" i="27"/>
  <c r="G9" i="27"/>
  <c r="H5" i="27" s="1"/>
  <c r="D14" i="27"/>
  <c r="O71" i="3"/>
  <c r="N71" i="3"/>
  <c r="M71" i="3"/>
  <c r="L71" i="3"/>
  <c r="K71" i="3"/>
  <c r="J71" i="3"/>
  <c r="I71" i="3"/>
  <c r="H71" i="3"/>
  <c r="C43" i="14"/>
  <c r="C10" i="26"/>
  <c r="G6" i="5"/>
  <c r="F6" i="5"/>
  <c r="E6" i="5"/>
  <c r="E38" i="5" s="1"/>
  <c r="D6" i="5"/>
  <c r="N37" i="4"/>
  <c r="M37" i="4"/>
  <c r="L37" i="4"/>
  <c r="K37" i="4"/>
  <c r="J37" i="4"/>
  <c r="I37" i="4"/>
  <c r="H37" i="4"/>
  <c r="G37" i="4"/>
  <c r="F32" i="4"/>
  <c r="E32" i="4"/>
  <c r="N34" i="4"/>
  <c r="M34" i="4"/>
  <c r="L34" i="4"/>
  <c r="K34" i="4"/>
  <c r="J34" i="4"/>
  <c r="I34" i="4"/>
  <c r="H34" i="4"/>
  <c r="G34" i="4"/>
  <c r="F34" i="4"/>
  <c r="E34" i="4"/>
  <c r="D34" i="4"/>
  <c r="D32" i="4"/>
  <c r="C34" i="4"/>
  <c r="E37" i="3"/>
  <c r="F37" i="3"/>
  <c r="G37" i="3"/>
  <c r="F41" i="3"/>
  <c r="G41" i="3"/>
  <c r="F80" i="4"/>
  <c r="E80" i="4"/>
  <c r="D80" i="4"/>
  <c r="F16" i="3"/>
  <c r="O21" i="3"/>
  <c r="N21" i="3"/>
  <c r="M21" i="3"/>
  <c r="L21" i="3"/>
  <c r="K21" i="3"/>
  <c r="J21" i="3"/>
  <c r="I21" i="3"/>
  <c r="P41" i="4"/>
  <c r="P3" i="4"/>
  <c r="P81" i="4"/>
  <c r="P71" i="4"/>
  <c r="P55" i="4"/>
  <c r="E1" i="2"/>
  <c r="F1" i="22"/>
  <c r="F1" i="19"/>
  <c r="F1" i="11"/>
  <c r="I1" i="10"/>
  <c r="G1" i="9"/>
  <c r="P1" i="12"/>
  <c r="Q38" i="3"/>
  <c r="Q34" i="3"/>
  <c r="Q15" i="3"/>
  <c r="Q6" i="3"/>
  <c r="Q1" i="3"/>
  <c r="P1" i="25"/>
  <c r="O1" i="26"/>
  <c r="Q1" i="18"/>
  <c r="Q1" i="17"/>
  <c r="Q1" i="16"/>
  <c r="Q1" i="15"/>
  <c r="P13" i="14"/>
  <c r="P1" i="14"/>
  <c r="Q23" i="7"/>
  <c r="Q18" i="7"/>
  <c r="Q4" i="7"/>
  <c r="Q26" i="6"/>
  <c r="Q22" i="6"/>
  <c r="Q19" i="6"/>
  <c r="Q4" i="6"/>
  <c r="Q5" i="5"/>
  <c r="Q53" i="5"/>
  <c r="Q42" i="5"/>
  <c r="F61" i="4"/>
  <c r="E61" i="4"/>
  <c r="D61" i="4"/>
  <c r="F67" i="4"/>
  <c r="E67" i="4"/>
  <c r="D63" i="4"/>
  <c r="E63" i="4"/>
  <c r="F63" i="4"/>
  <c r="C46" i="14" l="1"/>
  <c r="D38" i="5"/>
  <c r="E46" i="14"/>
  <c r="F46" i="14"/>
  <c r="D58" i="5"/>
  <c r="E45" i="14"/>
  <c r="C45" i="14"/>
  <c r="D5" i="7"/>
  <c r="F5" i="7"/>
  <c r="E10" i="26"/>
  <c r="E42" i="14"/>
  <c r="C42" i="14"/>
  <c r="D10" i="26"/>
  <c r="D42" i="14"/>
  <c r="E5" i="17"/>
  <c r="D41" i="14"/>
  <c r="D43" i="14"/>
  <c r="D46" i="14"/>
  <c r="F10" i="26"/>
  <c r="F42" i="14"/>
  <c r="G5" i="7"/>
  <c r="E5" i="7"/>
  <c r="G5" i="17"/>
  <c r="F41" i="14"/>
  <c r="F43" i="14"/>
  <c r="F5" i="17"/>
  <c r="E41" i="14"/>
  <c r="E43" i="14"/>
  <c r="D5" i="17"/>
  <c r="C41" i="14"/>
  <c r="G80" i="4"/>
  <c r="G81" i="4" s="1"/>
  <c r="N67" i="4"/>
  <c r="I67" i="4"/>
  <c r="H67" i="4"/>
  <c r="J67" i="4"/>
  <c r="K67" i="4"/>
  <c r="L67" i="4"/>
  <c r="M67" i="4"/>
  <c r="F64" i="4"/>
  <c r="E64" i="4"/>
  <c r="F47" i="14"/>
  <c r="C47" i="14"/>
  <c r="C10" i="14"/>
  <c r="G32" i="7"/>
  <c r="F32" i="7"/>
  <c r="E32" i="7"/>
  <c r="D32" i="7"/>
  <c r="O24" i="6"/>
  <c r="N24" i="6"/>
  <c r="M24" i="6"/>
  <c r="L24" i="6"/>
  <c r="K24" i="6"/>
  <c r="J24" i="6"/>
  <c r="I24" i="6"/>
  <c r="H24" i="6"/>
  <c r="G29" i="14"/>
  <c r="H128" i="3" s="1"/>
  <c r="G19" i="14"/>
  <c r="G5" i="14"/>
  <c r="D29" i="14"/>
  <c r="D19" i="14"/>
  <c r="D5" i="14"/>
  <c r="G29" i="6"/>
  <c r="G28" i="6"/>
  <c r="G27" i="6"/>
  <c r="G23" i="6"/>
  <c r="G14" i="6"/>
  <c r="G13" i="6"/>
  <c r="G102" i="3" s="1"/>
  <c r="G12" i="6"/>
  <c r="G8" i="6"/>
  <c r="G7" i="6"/>
  <c r="G6" i="6"/>
  <c r="F29" i="6"/>
  <c r="F28" i="6"/>
  <c r="F27" i="6"/>
  <c r="F23" i="6"/>
  <c r="F14" i="6"/>
  <c r="F13" i="6"/>
  <c r="F102" i="3" s="1"/>
  <c r="F12" i="6"/>
  <c r="E29" i="6"/>
  <c r="E28" i="6"/>
  <c r="E27" i="6"/>
  <c r="E23" i="6"/>
  <c r="E14" i="6"/>
  <c r="E13" i="6"/>
  <c r="E102" i="3" s="1"/>
  <c r="E12" i="6"/>
  <c r="D29" i="6"/>
  <c r="D28" i="6"/>
  <c r="D27" i="6"/>
  <c r="D23" i="6"/>
  <c r="D14" i="6"/>
  <c r="D13" i="6"/>
  <c r="D102" i="3" s="1"/>
  <c r="D12" i="6"/>
  <c r="D6" i="6"/>
  <c r="G19" i="17"/>
  <c r="G16" i="17"/>
  <c r="G15" i="17"/>
  <c r="G14" i="17"/>
  <c r="G13" i="17"/>
  <c r="G10" i="17"/>
  <c r="G9" i="17" s="1"/>
  <c r="F19" i="17"/>
  <c r="F16" i="17"/>
  <c r="F15" i="17"/>
  <c r="F14" i="17"/>
  <c r="F13" i="17"/>
  <c r="F10" i="17"/>
  <c r="F9" i="17" s="1"/>
  <c r="E19" i="17"/>
  <c r="E16" i="17"/>
  <c r="E15" i="17"/>
  <c r="E14" i="17"/>
  <c r="E13" i="17"/>
  <c r="E10" i="17"/>
  <c r="E9" i="17" s="1"/>
  <c r="D19" i="17"/>
  <c r="D16" i="17"/>
  <c r="D15" i="17"/>
  <c r="D14" i="17"/>
  <c r="D13" i="17"/>
  <c r="D10" i="17"/>
  <c r="D9" i="17" s="1"/>
  <c r="C11" i="26"/>
  <c r="C9" i="26"/>
  <c r="G24" i="5"/>
  <c r="G8" i="7" s="1"/>
  <c r="G23" i="5"/>
  <c r="G14" i="5"/>
  <c r="G13" i="5"/>
  <c r="G12" i="5"/>
  <c r="G11" i="5"/>
  <c r="G7" i="5"/>
  <c r="F24" i="5"/>
  <c r="F8" i="7" s="1"/>
  <c r="F23" i="5"/>
  <c r="F19" i="5"/>
  <c r="F7" i="7" s="1"/>
  <c r="F14" i="5"/>
  <c r="F13" i="5"/>
  <c r="F12" i="5"/>
  <c r="F11" i="5"/>
  <c r="F7" i="5"/>
  <c r="E24" i="5"/>
  <c r="E8" i="7" s="1"/>
  <c r="E23" i="5"/>
  <c r="E14" i="5"/>
  <c r="E13" i="5"/>
  <c r="E12" i="5"/>
  <c r="E11" i="5"/>
  <c r="E7" i="5"/>
  <c r="D24" i="5"/>
  <c r="D8" i="7" s="1"/>
  <c r="D23" i="5"/>
  <c r="D19" i="5"/>
  <c r="D7" i="7" s="1"/>
  <c r="D14" i="5"/>
  <c r="D13" i="5"/>
  <c r="D12" i="5"/>
  <c r="D11" i="5"/>
  <c r="D7" i="5"/>
  <c r="G85" i="3"/>
  <c r="F85" i="3"/>
  <c r="E85" i="3"/>
  <c r="D85" i="3"/>
  <c r="G55" i="5"/>
  <c r="F14" i="26" s="1"/>
  <c r="F55" i="5"/>
  <c r="E14" i="26" s="1"/>
  <c r="E55" i="5"/>
  <c r="D14" i="26" s="1"/>
  <c r="D55" i="5"/>
  <c r="C14" i="26" s="1"/>
  <c r="N5" i="26"/>
  <c r="O14" i="27" s="1"/>
  <c r="M5" i="26"/>
  <c r="L5" i="26"/>
  <c r="K5" i="26"/>
  <c r="L14" i="27" s="1"/>
  <c r="J5" i="26"/>
  <c r="I5" i="26"/>
  <c r="H5" i="26"/>
  <c r="G5" i="26"/>
  <c r="F9" i="26"/>
  <c r="F6" i="26"/>
  <c r="E9" i="26"/>
  <c r="E6" i="26"/>
  <c r="D9" i="26"/>
  <c r="D6" i="26"/>
  <c r="D5" i="25"/>
  <c r="G20" i="7"/>
  <c r="G23" i="25" s="1"/>
  <c r="F20" i="7"/>
  <c r="F23" i="25" s="1"/>
  <c r="E20" i="7"/>
  <c r="E23" i="25" s="1"/>
  <c r="D20" i="7"/>
  <c r="D23" i="25" s="1"/>
  <c r="O10" i="25"/>
  <c r="N10" i="25"/>
  <c r="M10" i="25"/>
  <c r="L10" i="25"/>
  <c r="K10" i="25"/>
  <c r="J10" i="25"/>
  <c r="I10" i="25"/>
  <c r="H10" i="25"/>
  <c r="G18" i="25"/>
  <c r="G14" i="25"/>
  <c r="F18" i="25"/>
  <c r="F14" i="25"/>
  <c r="E18" i="25"/>
  <c r="E14" i="25"/>
  <c r="D18" i="25"/>
  <c r="D14" i="25"/>
  <c r="D10" i="25"/>
  <c r="G19" i="7"/>
  <c r="F19" i="7"/>
  <c r="E19" i="7"/>
  <c r="D19" i="7"/>
  <c r="N15" i="14"/>
  <c r="M15" i="14"/>
  <c r="L15" i="14"/>
  <c r="K15" i="14"/>
  <c r="J15" i="14"/>
  <c r="I15" i="14"/>
  <c r="H15" i="14"/>
  <c r="G15" i="14"/>
  <c r="F6" i="14"/>
  <c r="E6" i="14"/>
  <c r="D6" i="14"/>
  <c r="C6" i="14"/>
  <c r="G21" i="12"/>
  <c r="F21" i="12"/>
  <c r="E21" i="12"/>
  <c r="D21" i="12"/>
  <c r="G53" i="3"/>
  <c r="F53" i="3"/>
  <c r="E53" i="3"/>
  <c r="D53" i="3"/>
  <c r="G52" i="3"/>
  <c r="F52" i="3"/>
  <c r="E52" i="3"/>
  <c r="D52" i="3"/>
  <c r="G51" i="3"/>
  <c r="F51" i="3"/>
  <c r="E51" i="3"/>
  <c r="G50" i="3"/>
  <c r="F50" i="3"/>
  <c r="E50" i="3"/>
  <c r="G49" i="3"/>
  <c r="O47" i="5"/>
  <c r="N47" i="5"/>
  <c r="M47" i="5"/>
  <c r="L47" i="5"/>
  <c r="K47" i="5"/>
  <c r="B8" i="9" s="1"/>
  <c r="J47" i="5"/>
  <c r="I47" i="5"/>
  <c r="H47" i="5"/>
  <c r="G48" i="5"/>
  <c r="F48" i="5"/>
  <c r="E48" i="5"/>
  <c r="D48" i="5"/>
  <c r="C48" i="14"/>
  <c r="O27" i="7"/>
  <c r="N27" i="7"/>
  <c r="M27" i="7"/>
  <c r="L27" i="7"/>
  <c r="K27" i="7"/>
  <c r="J27" i="7"/>
  <c r="I27" i="7"/>
  <c r="H27" i="7"/>
  <c r="O15" i="7"/>
  <c r="N15" i="7"/>
  <c r="M15" i="7"/>
  <c r="L15" i="7"/>
  <c r="K15" i="7"/>
  <c r="J15" i="7"/>
  <c r="I15" i="7"/>
  <c r="H15" i="7"/>
  <c r="G25" i="7"/>
  <c r="E25" i="7"/>
  <c r="D25" i="7"/>
  <c r="O11" i="15"/>
  <c r="N11" i="15"/>
  <c r="M11" i="15"/>
  <c r="L11" i="15"/>
  <c r="K11" i="15"/>
  <c r="J11" i="15"/>
  <c r="I11" i="15"/>
  <c r="H11" i="15"/>
  <c r="G86" i="3"/>
  <c r="D72" i="3"/>
  <c r="E72" i="3"/>
  <c r="F72" i="3"/>
  <c r="G72" i="3"/>
  <c r="E20" i="3"/>
  <c r="F20" i="3"/>
  <c r="G20" i="3"/>
  <c r="H21" i="3" s="1"/>
  <c r="G16" i="3"/>
  <c r="F45" i="4"/>
  <c r="E45" i="4"/>
  <c r="D45" i="4"/>
  <c r="C45" i="4"/>
  <c r="D76" i="4"/>
  <c r="E76" i="4"/>
  <c r="D69" i="4"/>
  <c r="E69" i="4"/>
  <c r="F69" i="4"/>
  <c r="G46" i="4"/>
  <c r="H15" i="18"/>
  <c r="I15" i="18"/>
  <c r="J15" i="18"/>
  <c r="K15" i="18"/>
  <c r="L15" i="18"/>
  <c r="M15" i="18"/>
  <c r="N15" i="18"/>
  <c r="O15" i="18"/>
  <c r="F30" i="12" l="1"/>
  <c r="H12" i="25"/>
  <c r="H13" i="25" s="1"/>
  <c r="F16" i="12"/>
  <c r="F21" i="7"/>
  <c r="G21" i="7"/>
  <c r="E16" i="6"/>
  <c r="D36" i="6"/>
  <c r="F16" i="6"/>
  <c r="G30" i="6"/>
  <c r="D33" i="15"/>
  <c r="D26" i="12"/>
  <c r="E33" i="15"/>
  <c r="E26" i="12"/>
  <c r="G36" i="6"/>
  <c r="F33" i="15"/>
  <c r="F26" i="12"/>
  <c r="E25" i="6"/>
  <c r="E30" i="12"/>
  <c r="G33" i="15"/>
  <c r="G34" i="15" s="1"/>
  <c r="C11" i="22"/>
  <c r="G26" i="12"/>
  <c r="E22" i="25"/>
  <c r="E9" i="7"/>
  <c r="G22" i="25"/>
  <c r="G9" i="7"/>
  <c r="D25" i="6"/>
  <c r="D30" i="12"/>
  <c r="D34" i="7"/>
  <c r="D22" i="25"/>
  <c r="D9" i="7"/>
  <c r="F22" i="25"/>
  <c r="F9" i="7"/>
  <c r="D30" i="6"/>
  <c r="G16" i="6"/>
  <c r="F36" i="6"/>
  <c r="G25" i="6"/>
  <c r="G30" i="12"/>
  <c r="G29" i="3"/>
  <c r="D16" i="6"/>
  <c r="F30" i="6"/>
  <c r="E36" i="6"/>
  <c r="D21" i="7"/>
  <c r="E34" i="7"/>
  <c r="E21" i="7"/>
  <c r="F34" i="7"/>
  <c r="G34" i="7"/>
  <c r="E38" i="6"/>
  <c r="D38" i="6"/>
  <c r="E30" i="6"/>
  <c r="E5" i="15"/>
  <c r="G38" i="6"/>
  <c r="F5" i="15"/>
  <c r="E16" i="12"/>
  <c r="D16" i="12"/>
  <c r="N10" i="17"/>
  <c r="N14" i="27"/>
  <c r="H10" i="17"/>
  <c r="H14" i="27"/>
  <c r="I10" i="17"/>
  <c r="I14" i="27"/>
  <c r="J55" i="5"/>
  <c r="I14" i="26" s="1"/>
  <c r="J14" i="27"/>
  <c r="G16" i="12"/>
  <c r="K55" i="5"/>
  <c r="J14" i="26" s="1"/>
  <c r="K14" i="27"/>
  <c r="M10" i="17"/>
  <c r="M14" i="27"/>
  <c r="D35" i="15"/>
  <c r="E54" i="5"/>
  <c r="E57" i="5" s="1"/>
  <c r="E58" i="5" s="1"/>
  <c r="G54" i="5"/>
  <c r="G57" i="5" s="1"/>
  <c r="G58" i="5" s="1"/>
  <c r="E9" i="5"/>
  <c r="E10" i="5" s="1"/>
  <c r="F9" i="5"/>
  <c r="F10" i="5" s="1"/>
  <c r="F15" i="12"/>
  <c r="E15" i="12"/>
  <c r="D9" i="5"/>
  <c r="D10" i="5" s="1"/>
  <c r="G9" i="5"/>
  <c r="G10" i="5" s="1"/>
  <c r="G15" i="12"/>
  <c r="D15" i="12"/>
  <c r="H80" i="4"/>
  <c r="F7" i="12"/>
  <c r="G32" i="15"/>
  <c r="D46" i="4"/>
  <c r="E46" i="4"/>
  <c r="F46" i="4"/>
  <c r="G8" i="3"/>
  <c r="G7" i="12"/>
  <c r="E32" i="15"/>
  <c r="D32" i="15"/>
  <c r="F32" i="15"/>
  <c r="F11" i="26"/>
  <c r="C12" i="2"/>
  <c r="E35" i="15"/>
  <c r="E11" i="26"/>
  <c r="G35" i="15"/>
  <c r="C7" i="22"/>
  <c r="D11" i="26"/>
  <c r="F21" i="3"/>
  <c r="G21" i="3"/>
  <c r="H16" i="14"/>
  <c r="H6" i="14" s="1"/>
  <c r="G16" i="14"/>
  <c r="G6" i="14" s="1"/>
  <c r="K16" i="14"/>
  <c r="K6" i="14" s="1"/>
  <c r="L16" i="14"/>
  <c r="M19" i="7" s="1"/>
  <c r="I9" i="8" s="1"/>
  <c r="F17" i="17"/>
  <c r="I16" i="14"/>
  <c r="I6" i="14" s="1"/>
  <c r="G17" i="3"/>
  <c r="G17" i="17"/>
  <c r="E17" i="17"/>
  <c r="D17" i="17"/>
  <c r="J16" i="14"/>
  <c r="K19" i="7" s="1"/>
  <c r="G9" i="8" s="1"/>
  <c r="N16" i="14"/>
  <c r="O19" i="7" s="1"/>
  <c r="K9" i="8" s="1"/>
  <c r="K6" i="26"/>
  <c r="O10" i="17"/>
  <c r="M16" i="14"/>
  <c r="N19" i="7" s="1"/>
  <c r="J9" i="8" s="1"/>
  <c r="J10" i="17"/>
  <c r="H6" i="26"/>
  <c r="J6" i="26"/>
  <c r="K10" i="17"/>
  <c r="L10" i="17"/>
  <c r="O55" i="5"/>
  <c r="N14" i="26" s="1"/>
  <c r="F48" i="4"/>
  <c r="G11" i="3" s="1"/>
  <c r="H11" i="3" s="1"/>
  <c r="I11" i="3" s="1"/>
  <c r="J11" i="3" s="1"/>
  <c r="K11" i="3" s="1"/>
  <c r="L11" i="3" s="1"/>
  <c r="M11" i="3" s="1"/>
  <c r="N11" i="3" s="1"/>
  <c r="O11" i="3" s="1"/>
  <c r="E48" i="4"/>
  <c r="F11" i="3" s="1"/>
  <c r="D48" i="4"/>
  <c r="E11" i="3" s="1"/>
  <c r="E12" i="3" s="1"/>
  <c r="C48" i="4"/>
  <c r="F38" i="6"/>
  <c r="G5" i="15"/>
  <c r="F25" i="6"/>
  <c r="H31" i="7"/>
  <c r="H5" i="25" s="1"/>
  <c r="B143" i="3"/>
  <c r="G6" i="25"/>
  <c r="N6" i="26"/>
  <c r="I6" i="26"/>
  <c r="L55" i="5"/>
  <c r="K14" i="26" s="1"/>
  <c r="L6" i="26"/>
  <c r="M55" i="5"/>
  <c r="L14" i="26" s="1"/>
  <c r="N55" i="5"/>
  <c r="M14" i="26" s="1"/>
  <c r="G6" i="26"/>
  <c r="M6" i="26"/>
  <c r="H55" i="5"/>
  <c r="G14" i="26" s="1"/>
  <c r="I55" i="5"/>
  <c r="H14" i="26" s="1"/>
  <c r="D28" i="7"/>
  <c r="D54" i="5"/>
  <c r="F54" i="5"/>
  <c r="F57" i="5" s="1"/>
  <c r="F21" i="4"/>
  <c r="E21" i="4"/>
  <c r="D21" i="4"/>
  <c r="F20" i="4"/>
  <c r="E20" i="4"/>
  <c r="D20" i="4"/>
  <c r="F12" i="4"/>
  <c r="E12" i="4"/>
  <c r="D12" i="4"/>
  <c r="D13" i="4" s="1"/>
  <c r="F8" i="4"/>
  <c r="E8" i="4"/>
  <c r="D8" i="4"/>
  <c r="D9" i="4" s="1"/>
  <c r="C21" i="4"/>
  <c r="C20" i="4"/>
  <c r="C12" i="4"/>
  <c r="C8" i="11"/>
  <c r="N46" i="4"/>
  <c r="M46" i="4"/>
  <c r="L46" i="4"/>
  <c r="K46" i="4"/>
  <c r="J46" i="4"/>
  <c r="I46" i="4"/>
  <c r="H46" i="4"/>
  <c r="G44" i="3"/>
  <c r="F86" i="3"/>
  <c r="G87" i="3" s="1"/>
  <c r="K34" i="10" l="1"/>
  <c r="B121" i="3"/>
  <c r="F31" i="12"/>
  <c r="D31" i="6"/>
  <c r="G31" i="12"/>
  <c r="D37" i="6"/>
  <c r="G31" i="6"/>
  <c r="G10" i="6" s="1"/>
  <c r="G17" i="6" s="1"/>
  <c r="G37" i="6"/>
  <c r="F37" i="6"/>
  <c r="E31" i="12"/>
  <c r="F31" i="6"/>
  <c r="E31" i="6"/>
  <c r="B7" i="28"/>
  <c r="B8" i="28" s="1"/>
  <c r="D14" i="9"/>
  <c r="C33" i="11"/>
  <c r="D33" i="11"/>
  <c r="B33" i="11"/>
  <c r="E37" i="6"/>
  <c r="F14" i="12"/>
  <c r="F58" i="5"/>
  <c r="D16" i="5"/>
  <c r="F16" i="5"/>
  <c r="E16" i="5"/>
  <c r="G16" i="5"/>
  <c r="I80" i="4"/>
  <c r="H8" i="3"/>
  <c r="G45" i="4" s="1"/>
  <c r="G9" i="3"/>
  <c r="L6" i="14"/>
  <c r="I19" i="7"/>
  <c r="E9" i="8" s="1"/>
  <c r="J19" i="7"/>
  <c r="F9" i="8" s="1"/>
  <c r="H19" i="7"/>
  <c r="D9" i="8" s="1"/>
  <c r="L19" i="7"/>
  <c r="H9" i="8" s="1"/>
  <c r="M6" i="14"/>
  <c r="J6" i="14"/>
  <c r="N6" i="14"/>
  <c r="H23" i="5"/>
  <c r="H14" i="25"/>
  <c r="H17" i="25"/>
  <c r="E48" i="14"/>
  <c r="D14" i="4"/>
  <c r="E9" i="4"/>
  <c r="C4" i="4"/>
  <c r="C5" i="4" s="1"/>
  <c r="D15" i="18"/>
  <c r="D4" i="4"/>
  <c r="D5" i="4" s="1"/>
  <c r="E15" i="18"/>
  <c r="E4" i="4"/>
  <c r="E5" i="4" s="1"/>
  <c r="F15" i="18"/>
  <c r="F4" i="4"/>
  <c r="F16" i="4" s="1"/>
  <c r="G15" i="18"/>
  <c r="C13" i="4"/>
  <c r="C14" i="4" s="1"/>
  <c r="F9" i="4"/>
  <c r="E13" i="4"/>
  <c r="D10" i="4"/>
  <c r="B144" i="3"/>
  <c r="F34" i="5" l="1"/>
  <c r="E34" i="5"/>
  <c r="E39" i="5" s="1"/>
  <c r="E40" i="5" s="1"/>
  <c r="D17" i="5"/>
  <c r="D34" i="5"/>
  <c r="D39" i="5" s="1"/>
  <c r="D40" i="5" s="1"/>
  <c r="G17" i="5"/>
  <c r="G34" i="5"/>
  <c r="H22" i="25"/>
  <c r="H9" i="7"/>
  <c r="G18" i="18"/>
  <c r="C5" i="22"/>
  <c r="C10" i="2"/>
  <c r="G11" i="12"/>
  <c r="D21" i="5"/>
  <c r="E17" i="5"/>
  <c r="F21" i="5"/>
  <c r="F17" i="5"/>
  <c r="J80" i="4"/>
  <c r="B7" i="9" s="1"/>
  <c r="H20" i="7"/>
  <c r="H18" i="25"/>
  <c r="E10" i="4"/>
  <c r="E14" i="4"/>
  <c r="D6" i="4"/>
  <c r="E6" i="4"/>
  <c r="F10" i="4"/>
  <c r="C6" i="4"/>
  <c r="D16" i="4"/>
  <c r="E16" i="4"/>
  <c r="F5" i="4"/>
  <c r="D49" i="4"/>
  <c r="F12" i="3"/>
  <c r="E49" i="4"/>
  <c r="G12" i="3"/>
  <c r="I8" i="3"/>
  <c r="E36" i="3"/>
  <c r="D36" i="3"/>
  <c r="E73" i="4"/>
  <c r="F36" i="3" s="1"/>
  <c r="E43" i="4"/>
  <c r="E57" i="4"/>
  <c r="F26" i="5" l="1"/>
  <c r="D26" i="5"/>
  <c r="D6" i="7" s="1"/>
  <c r="F5" i="12"/>
  <c r="F18" i="18"/>
  <c r="F11" i="12"/>
  <c r="E18" i="18"/>
  <c r="E11" i="12"/>
  <c r="G5" i="12"/>
  <c r="D22" i="5"/>
  <c r="F22" i="5"/>
  <c r="K80" i="4"/>
  <c r="H23" i="25"/>
  <c r="H21" i="7"/>
  <c r="E17" i="4"/>
  <c r="E18" i="4" s="1"/>
  <c r="E23" i="4" s="1"/>
  <c r="D17" i="4"/>
  <c r="D18" i="4" s="1"/>
  <c r="D23" i="4" s="1"/>
  <c r="F6" i="4"/>
  <c r="F49" i="4"/>
  <c r="J8" i="3"/>
  <c r="H45" i="4"/>
  <c r="F6" i="15"/>
  <c r="E36" i="14"/>
  <c r="E49" i="14"/>
  <c r="E81" i="4"/>
  <c r="F44" i="3"/>
  <c r="F33" i="3"/>
  <c r="E19" i="12"/>
  <c r="D19" i="12"/>
  <c r="E5" i="18"/>
  <c r="E10" i="18" s="1"/>
  <c r="D5" i="18"/>
  <c r="D10" i="18" s="1"/>
  <c r="G18" i="3"/>
  <c r="E86" i="3"/>
  <c r="F87" i="3" s="1"/>
  <c r="D35" i="14"/>
  <c r="D7" i="6"/>
  <c r="D8" i="6" s="1"/>
  <c r="E20" i="16"/>
  <c r="D20" i="16"/>
  <c r="E15" i="16"/>
  <c r="D15" i="16"/>
  <c r="E6" i="16"/>
  <c r="E30" i="16" s="1"/>
  <c r="D6" i="16"/>
  <c r="D30" i="16" s="1"/>
  <c r="E42" i="17"/>
  <c r="D42" i="17"/>
  <c r="E44" i="3"/>
  <c r="E33" i="3"/>
  <c r="E13" i="18"/>
  <c r="D13" i="18"/>
  <c r="D27" i="4"/>
  <c r="C27" i="4"/>
  <c r="D81" i="4"/>
  <c r="D52" i="4"/>
  <c r="C52" i="4"/>
  <c r="D43" i="4"/>
  <c r="C16" i="22"/>
  <c r="B26" i="20"/>
  <c r="B17" i="20"/>
  <c r="B12" i="20"/>
  <c r="B14" i="20" s="1"/>
  <c r="B138" i="3" s="1"/>
  <c r="B11" i="20"/>
  <c r="B5" i="20"/>
  <c r="B4" i="20"/>
  <c r="C33" i="19"/>
  <c r="D32" i="19"/>
  <c r="D31" i="19"/>
  <c r="D30" i="19"/>
  <c r="D29" i="19"/>
  <c r="C28" i="19"/>
  <c r="B24" i="19"/>
  <c r="G13" i="18"/>
  <c r="F13" i="18"/>
  <c r="O9" i="16"/>
  <c r="N9" i="16"/>
  <c r="M9" i="16"/>
  <c r="L9" i="16"/>
  <c r="K9" i="16"/>
  <c r="J9" i="16"/>
  <c r="I9" i="16"/>
  <c r="O8" i="16"/>
  <c r="N8" i="16"/>
  <c r="M8" i="16"/>
  <c r="L8" i="16"/>
  <c r="K8" i="16"/>
  <c r="J8" i="16"/>
  <c r="I8" i="16"/>
  <c r="O7" i="16"/>
  <c r="N7" i="16"/>
  <c r="M7" i="16"/>
  <c r="L7" i="16"/>
  <c r="K7" i="16"/>
  <c r="J7" i="16"/>
  <c r="I7" i="16"/>
  <c r="G42" i="17"/>
  <c r="F42" i="17"/>
  <c r="G20" i="16"/>
  <c r="F20" i="16"/>
  <c r="G15" i="16"/>
  <c r="H9" i="16"/>
  <c r="H8" i="16"/>
  <c r="H7" i="16"/>
  <c r="G6" i="16"/>
  <c r="G9" i="16" s="1"/>
  <c r="G104" i="3" s="1"/>
  <c r="F6" i="16"/>
  <c r="F9" i="16" s="1"/>
  <c r="F104" i="3" s="1"/>
  <c r="G23" i="15"/>
  <c r="B122" i="3" s="1"/>
  <c r="H5" i="15"/>
  <c r="H10" i="15" s="1"/>
  <c r="F36" i="14"/>
  <c r="F35" i="14"/>
  <c r="G30" i="14"/>
  <c r="G36" i="14" s="1"/>
  <c r="C15" i="2"/>
  <c r="F37" i="12"/>
  <c r="D29" i="11"/>
  <c r="D26" i="11"/>
  <c r="D27" i="11" s="1"/>
  <c r="D23" i="11"/>
  <c r="D24" i="11" s="1"/>
  <c r="D20" i="11"/>
  <c r="D21" i="11" s="1"/>
  <c r="D17" i="11"/>
  <c r="D18" i="11" s="1"/>
  <c r="B29" i="11"/>
  <c r="B26" i="11"/>
  <c r="B27" i="11" s="1"/>
  <c r="B23" i="11"/>
  <c r="B24" i="11" s="1"/>
  <c r="B20" i="11"/>
  <c r="B21" i="11" s="1"/>
  <c r="B17" i="11"/>
  <c r="B18" i="11" s="1"/>
  <c r="C13" i="11"/>
  <c r="C29" i="11" s="1"/>
  <c r="C12" i="11"/>
  <c r="C10" i="11"/>
  <c r="B25" i="10"/>
  <c r="B33" i="8"/>
  <c r="B30" i="8"/>
  <c r="G22" i="27" s="1"/>
  <c r="G23" i="27" s="1"/>
  <c r="B4" i="8"/>
  <c r="F44" i="14"/>
  <c r="G111" i="3" s="1"/>
  <c r="E27" i="4"/>
  <c r="F25" i="12" s="1"/>
  <c r="G87" i="4"/>
  <c r="F81" i="4"/>
  <c r="F73" i="4"/>
  <c r="G36" i="3" s="1"/>
  <c r="G72" i="4"/>
  <c r="H45" i="5" s="1"/>
  <c r="F57" i="4"/>
  <c r="G8" i="18"/>
  <c r="G9" i="18" s="1"/>
  <c r="G5" i="18"/>
  <c r="G10" i="18" s="1"/>
  <c r="F5" i="18"/>
  <c r="F10" i="18" s="1"/>
  <c r="F52" i="4"/>
  <c r="E52" i="4"/>
  <c r="F43" i="4"/>
  <c r="G48" i="4"/>
  <c r="F29" i="12"/>
  <c r="G33" i="3"/>
  <c r="H16" i="3"/>
  <c r="B6" i="20" l="1"/>
  <c r="B7" i="20" s="1"/>
  <c r="B29" i="20" s="1"/>
  <c r="B136" i="3"/>
  <c r="B137" i="3" s="1"/>
  <c r="B16" i="32"/>
  <c r="H86" i="3"/>
  <c r="G31" i="15"/>
  <c r="G27" i="3"/>
  <c r="G28" i="3" s="1"/>
  <c r="D64" i="9"/>
  <c r="C5" i="30"/>
  <c r="B49" i="8"/>
  <c r="B18" i="28"/>
  <c r="D91" i="3"/>
  <c r="D29" i="12" s="1"/>
  <c r="D29" i="5"/>
  <c r="D12" i="12" s="1"/>
  <c r="E25" i="12"/>
  <c r="E6" i="12"/>
  <c r="E22" i="18"/>
  <c r="D33" i="4"/>
  <c r="E10" i="12"/>
  <c r="E49" i="5"/>
  <c r="D16" i="7"/>
  <c r="D12" i="7"/>
  <c r="F32" i="12"/>
  <c r="D25" i="12"/>
  <c r="D22" i="18"/>
  <c r="C33" i="4"/>
  <c r="C35" i="4" s="1"/>
  <c r="C36" i="4" s="1"/>
  <c r="D10" i="12"/>
  <c r="D49" i="5"/>
  <c r="E29" i="15"/>
  <c r="F29" i="5"/>
  <c r="F12" i="12" s="1"/>
  <c r="F6" i="7"/>
  <c r="G30" i="15"/>
  <c r="G22" i="15"/>
  <c r="E33" i="4"/>
  <c r="F6" i="12"/>
  <c r="F22" i="18"/>
  <c r="F49" i="5"/>
  <c r="F10" i="12"/>
  <c r="F30" i="15"/>
  <c r="F29" i="15"/>
  <c r="D28" i="4"/>
  <c r="E30" i="15"/>
  <c r="E28" i="4"/>
  <c r="L80" i="4"/>
  <c r="G49" i="4"/>
  <c r="G42" i="4"/>
  <c r="I16" i="3"/>
  <c r="H17" i="3"/>
  <c r="D34" i="15"/>
  <c r="D6" i="25"/>
  <c r="D7" i="25" s="1"/>
  <c r="D19" i="25" s="1"/>
  <c r="E90" i="3"/>
  <c r="E10" i="25" s="1"/>
  <c r="E31" i="7"/>
  <c r="D9" i="6"/>
  <c r="D10" i="6" s="1"/>
  <c r="D17" i="6" s="1"/>
  <c r="F25" i="7"/>
  <c r="F35" i="15"/>
  <c r="H46" i="5"/>
  <c r="F22" i="15"/>
  <c r="F24" i="7" s="1"/>
  <c r="E31" i="15"/>
  <c r="G13" i="3"/>
  <c r="F14" i="18"/>
  <c r="G20" i="4"/>
  <c r="G73" i="4"/>
  <c r="G12" i="4"/>
  <c r="E24" i="4"/>
  <c r="H87" i="4"/>
  <c r="G21" i="4"/>
  <c r="D24" i="4"/>
  <c r="B18" i="20"/>
  <c r="B19" i="20" s="1"/>
  <c r="D33" i="19"/>
  <c r="E6" i="18"/>
  <c r="K8" i="3"/>
  <c r="I45" i="4"/>
  <c r="G23" i="16"/>
  <c r="D23" i="16"/>
  <c r="B25" i="19"/>
  <c r="E23" i="16"/>
  <c r="F23" i="16"/>
  <c r="D28" i="19"/>
  <c r="D34" i="19" s="1"/>
  <c r="F6" i="18"/>
  <c r="E18" i="3"/>
  <c r="D44" i="14"/>
  <c r="E111" i="3" s="1"/>
  <c r="B30" i="11"/>
  <c r="B31" i="11" s="1"/>
  <c r="D22" i="12"/>
  <c r="E22" i="12"/>
  <c r="E44" i="14"/>
  <c r="F111" i="3" s="1"/>
  <c r="D14" i="18"/>
  <c r="E8" i="18"/>
  <c r="E9" i="18" s="1"/>
  <c r="E20" i="12"/>
  <c r="E14" i="18"/>
  <c r="F19" i="12"/>
  <c r="G60" i="4"/>
  <c r="G61" i="4" s="1"/>
  <c r="G75" i="4"/>
  <c r="H72" i="4"/>
  <c r="I45" i="5" s="1"/>
  <c r="F31" i="15"/>
  <c r="D8" i="16"/>
  <c r="D103" i="3" s="1"/>
  <c r="E8" i="16"/>
  <c r="E103" i="3" s="1"/>
  <c r="D9" i="16"/>
  <c r="D104" i="3" s="1"/>
  <c r="E9" i="16"/>
  <c r="E104" i="3" s="1"/>
  <c r="D28" i="16"/>
  <c r="E28" i="16"/>
  <c r="O8" i="18"/>
  <c r="O9" i="18" s="1"/>
  <c r="O20" i="12"/>
  <c r="G67" i="4"/>
  <c r="G19" i="12"/>
  <c r="G14" i="18"/>
  <c r="G20" i="12"/>
  <c r="G21" i="18"/>
  <c r="G6" i="18"/>
  <c r="C10" i="22"/>
  <c r="H48" i="4"/>
  <c r="H49" i="4" s="1"/>
  <c r="F22" i="12"/>
  <c r="G31" i="14"/>
  <c r="G22" i="12"/>
  <c r="F20" i="12"/>
  <c r="F8" i="18"/>
  <c r="F9" i="18" s="1"/>
  <c r="F30" i="16"/>
  <c r="G30" i="16"/>
  <c r="H6" i="15"/>
  <c r="F28" i="16"/>
  <c r="G28" i="16"/>
  <c r="H8" i="15"/>
  <c r="G8" i="16"/>
  <c r="G103" i="3" s="1"/>
  <c r="F8" i="16"/>
  <c r="F103" i="3" s="1"/>
  <c r="D30" i="11"/>
  <c r="D31" i="11" s="1"/>
  <c r="H18" i="27" l="1"/>
  <c r="I18" i="27"/>
  <c r="L18" i="27"/>
  <c r="N18" i="27"/>
  <c r="J18" i="27"/>
  <c r="K18" i="27"/>
  <c r="O18" i="27"/>
  <c r="M18" i="27"/>
  <c r="H87" i="3"/>
  <c r="H9" i="15"/>
  <c r="I86" i="3"/>
  <c r="F36" i="15"/>
  <c r="F35" i="5"/>
  <c r="F37" i="5" s="1"/>
  <c r="G36" i="15"/>
  <c r="G35" i="5"/>
  <c r="G37" i="5" s="1"/>
  <c r="D31" i="5"/>
  <c r="E27" i="3"/>
  <c r="E29" i="3" s="1"/>
  <c r="I17" i="3"/>
  <c r="D30" i="5"/>
  <c r="F30" i="5"/>
  <c r="F13" i="12"/>
  <c r="F31" i="5"/>
  <c r="D35" i="4"/>
  <c r="D36" i="4" s="1"/>
  <c r="D37" i="4"/>
  <c r="E76" i="3" s="1"/>
  <c r="F12" i="7"/>
  <c r="F16" i="7"/>
  <c r="F35" i="7" s="1"/>
  <c r="D35" i="7"/>
  <c r="D30" i="7"/>
  <c r="E37" i="4"/>
  <c r="F76" i="3" s="1"/>
  <c r="E35" i="4"/>
  <c r="E36" i="4" s="1"/>
  <c r="E7" i="16"/>
  <c r="D106" i="3"/>
  <c r="F106" i="3"/>
  <c r="N80" i="4"/>
  <c r="M80" i="4"/>
  <c r="H13" i="18"/>
  <c r="G51" i="4"/>
  <c r="G43" i="4"/>
  <c r="H43" i="5"/>
  <c r="G4" i="4"/>
  <c r="H42" i="4"/>
  <c r="H60" i="4"/>
  <c r="I5" i="18" s="1"/>
  <c r="J16" i="3"/>
  <c r="H29" i="14"/>
  <c r="H8" i="6"/>
  <c r="G63" i="4"/>
  <c r="E21" i="18"/>
  <c r="E5" i="25"/>
  <c r="H21" i="4"/>
  <c r="F20" i="18"/>
  <c r="F21" i="18"/>
  <c r="G76" i="4"/>
  <c r="I46" i="5"/>
  <c r="H81" i="4"/>
  <c r="H20" i="4"/>
  <c r="G13" i="4"/>
  <c r="I87" i="4"/>
  <c r="J87" i="4" s="1"/>
  <c r="H73" i="4"/>
  <c r="H12" i="4"/>
  <c r="B20" i="20"/>
  <c r="B23" i="20" s="1"/>
  <c r="E24" i="16"/>
  <c r="L8" i="3"/>
  <c r="J45" i="4"/>
  <c r="G24" i="16"/>
  <c r="F24" i="16"/>
  <c r="E25" i="17"/>
  <c r="E73" i="3" s="1"/>
  <c r="D25" i="17"/>
  <c r="D73" i="3" s="1"/>
  <c r="E20" i="18"/>
  <c r="F25" i="17"/>
  <c r="F73" i="3" s="1"/>
  <c r="H19" i="12"/>
  <c r="B46" i="29" s="1"/>
  <c r="H5" i="18"/>
  <c r="H6" i="18" s="1"/>
  <c r="H75" i="4"/>
  <c r="I72" i="4"/>
  <c r="J45" i="5" s="1"/>
  <c r="J8" i="18"/>
  <c r="J9" i="18" s="1"/>
  <c r="J20" i="12"/>
  <c r="N20" i="12"/>
  <c r="N8" i="18"/>
  <c r="N9" i="18" s="1"/>
  <c r="I8" i="18"/>
  <c r="I9" i="18" s="1"/>
  <c r="I20" i="12"/>
  <c r="K20" i="12"/>
  <c r="C14" i="30" s="1"/>
  <c r="K8" i="18"/>
  <c r="K9" i="18" s="1"/>
  <c r="H8" i="18"/>
  <c r="H9" i="18" s="1"/>
  <c r="H20" i="12"/>
  <c r="B47" i="29" s="1"/>
  <c r="M8" i="18"/>
  <c r="M9" i="18" s="1"/>
  <c r="M20" i="12"/>
  <c r="I48" i="4"/>
  <c r="I49" i="4" s="1"/>
  <c r="L8" i="18"/>
  <c r="L9" i="18" s="1"/>
  <c r="L20" i="12"/>
  <c r="H21" i="15"/>
  <c r="H36" i="5" s="1"/>
  <c r="G20" i="18"/>
  <c r="B139" i="3" l="1"/>
  <c r="B3" i="8" s="1"/>
  <c r="B27" i="20"/>
  <c r="B28" i="20" s="1"/>
  <c r="I87" i="3"/>
  <c r="I9" i="15"/>
  <c r="J86" i="3"/>
  <c r="G38" i="5"/>
  <c r="G39" i="5"/>
  <c r="G40" i="5" s="1"/>
  <c r="F38" i="5"/>
  <c r="F39" i="5"/>
  <c r="F40" i="5" s="1"/>
  <c r="G56" i="4"/>
  <c r="E30" i="3"/>
  <c r="F29" i="3"/>
  <c r="E28" i="3"/>
  <c r="J17" i="3"/>
  <c r="I128" i="3"/>
  <c r="H30" i="14" s="1"/>
  <c r="H36" i="14" s="1"/>
  <c r="H51" i="4"/>
  <c r="G52" i="4"/>
  <c r="G5" i="4"/>
  <c r="G6" i="4" s="1"/>
  <c r="I13" i="18"/>
  <c r="H43" i="4"/>
  <c r="I42" i="4"/>
  <c r="I43" i="5"/>
  <c r="H4" i="4"/>
  <c r="I60" i="4"/>
  <c r="I61" i="4" s="1"/>
  <c r="K16" i="3"/>
  <c r="I19" i="12"/>
  <c r="H63" i="4"/>
  <c r="H56" i="4" s="1"/>
  <c r="H61" i="4"/>
  <c r="G64" i="4"/>
  <c r="H76" i="4"/>
  <c r="I21" i="4"/>
  <c r="J21" i="4"/>
  <c r="J46" i="5"/>
  <c r="G14" i="4"/>
  <c r="I12" i="4"/>
  <c r="I20" i="4"/>
  <c r="H13" i="4"/>
  <c r="D29" i="16"/>
  <c r="D31" i="16" s="1"/>
  <c r="D25" i="16"/>
  <c r="D7" i="16"/>
  <c r="D105" i="3"/>
  <c r="F7" i="16"/>
  <c r="F105" i="3"/>
  <c r="D36" i="17"/>
  <c r="D37" i="17" s="1"/>
  <c r="D20" i="17"/>
  <c r="D26" i="17"/>
  <c r="D74" i="3" s="1"/>
  <c r="F29" i="16"/>
  <c r="F31" i="16" s="1"/>
  <c r="F25" i="16"/>
  <c r="M8" i="3"/>
  <c r="K45" i="4"/>
  <c r="E27" i="17"/>
  <c r="E75" i="3" s="1"/>
  <c r="E25" i="16"/>
  <c r="E106" i="3"/>
  <c r="E105" i="3"/>
  <c r="E36" i="17"/>
  <c r="E39" i="17" s="1"/>
  <c r="E40" i="17" s="1"/>
  <c r="E20" i="17"/>
  <c r="E31" i="17" s="1"/>
  <c r="F20" i="17"/>
  <c r="E30" i="17"/>
  <c r="F43" i="17"/>
  <c r="D24" i="17"/>
  <c r="E28" i="17"/>
  <c r="D28" i="17"/>
  <c r="E29" i="16"/>
  <c r="E31" i="16" s="1"/>
  <c r="E24" i="17"/>
  <c r="E43" i="17"/>
  <c r="D43" i="17"/>
  <c r="D27" i="17"/>
  <c r="D75" i="3" s="1"/>
  <c r="E26" i="17"/>
  <c r="E74" i="3" s="1"/>
  <c r="D30" i="17"/>
  <c r="F28" i="17"/>
  <c r="F30" i="17"/>
  <c r="F24" i="17"/>
  <c r="F27" i="17"/>
  <c r="F75" i="3" s="1"/>
  <c r="F26" i="17"/>
  <c r="F74" i="3" s="1"/>
  <c r="F36" i="17"/>
  <c r="F37" i="17" s="1"/>
  <c r="I6" i="18"/>
  <c r="I73" i="4"/>
  <c r="J72" i="4"/>
  <c r="I75" i="4"/>
  <c r="K87" i="4"/>
  <c r="J48" i="4"/>
  <c r="J49" i="4" s="1"/>
  <c r="G28" i="17"/>
  <c r="G20" i="17"/>
  <c r="G36" i="17"/>
  <c r="G27" i="17"/>
  <c r="G75" i="3" s="1"/>
  <c r="G43" i="17"/>
  <c r="G24" i="17"/>
  <c r="G30" i="17"/>
  <c r="G26" i="17"/>
  <c r="G74" i="3" s="1"/>
  <c r="G25" i="17"/>
  <c r="G73" i="3" s="1"/>
  <c r="I81" i="4"/>
  <c r="K45" i="5" l="1"/>
  <c r="B6" i="9"/>
  <c r="D12" i="9"/>
  <c r="A9" i="10"/>
  <c r="A10" i="10"/>
  <c r="A7" i="10"/>
  <c r="B16" i="28"/>
  <c r="E15" i="8"/>
  <c r="G15" i="8"/>
  <c r="D37" i="9" s="1"/>
  <c r="F33" i="12"/>
  <c r="F15" i="8"/>
  <c r="H15" i="8"/>
  <c r="A12" i="10"/>
  <c r="J15" i="8"/>
  <c r="B32" i="11"/>
  <c r="B34" i="11" s="1"/>
  <c r="D15" i="8"/>
  <c r="K33" i="10"/>
  <c r="I15" i="8"/>
  <c r="C6" i="30"/>
  <c r="K15" i="8"/>
  <c r="B13" i="28" s="1"/>
  <c r="A11" i="10"/>
  <c r="B34" i="28"/>
  <c r="D32" i="11"/>
  <c r="D34" i="11" s="1"/>
  <c r="A8" i="10"/>
  <c r="A6" i="10"/>
  <c r="J87" i="3"/>
  <c r="J9" i="15"/>
  <c r="K86" i="3"/>
  <c r="F30" i="3"/>
  <c r="K17" i="3"/>
  <c r="H31" i="14"/>
  <c r="H52" i="4"/>
  <c r="H5" i="4"/>
  <c r="H6" i="4" s="1"/>
  <c r="H22" i="12"/>
  <c r="B49" i="29" s="1"/>
  <c r="H14" i="18"/>
  <c r="J43" i="5"/>
  <c r="I4" i="4"/>
  <c r="I51" i="4"/>
  <c r="J13" i="18"/>
  <c r="I43" i="4"/>
  <c r="J42" i="4"/>
  <c r="B4" i="9" s="1"/>
  <c r="L16" i="3"/>
  <c r="J19" i="12"/>
  <c r="J5" i="18"/>
  <c r="J6" i="18" s="1"/>
  <c r="I63" i="4"/>
  <c r="I56" i="4" s="1"/>
  <c r="J60" i="4"/>
  <c r="J61" i="4" s="1"/>
  <c r="H64" i="4"/>
  <c r="H8" i="4"/>
  <c r="H16" i="4" s="1"/>
  <c r="H33" i="4" s="1"/>
  <c r="H68" i="4"/>
  <c r="K46" i="5"/>
  <c r="K21" i="4"/>
  <c r="I76" i="4"/>
  <c r="H14" i="4"/>
  <c r="J12" i="4"/>
  <c r="J20" i="4"/>
  <c r="I13" i="4"/>
  <c r="D31" i="17"/>
  <c r="D39" i="17"/>
  <c r="D40" i="17" s="1"/>
  <c r="E37" i="17"/>
  <c r="E45" i="17"/>
  <c r="F45" i="17"/>
  <c r="F39" i="17"/>
  <c r="F40" i="17" s="1"/>
  <c r="F31" i="17"/>
  <c r="N8" i="3"/>
  <c r="L45" i="4"/>
  <c r="B27" i="8"/>
  <c r="B41" i="8"/>
  <c r="F38" i="12"/>
  <c r="C9" i="11"/>
  <c r="J73" i="4"/>
  <c r="K72" i="4"/>
  <c r="L45" i="5" s="1"/>
  <c r="J75" i="4"/>
  <c r="C11" i="11"/>
  <c r="J81" i="4"/>
  <c r="G45" i="17"/>
  <c r="G31" i="17"/>
  <c r="K48" i="4"/>
  <c r="K49" i="4" s="1"/>
  <c r="L87" i="4"/>
  <c r="G39" i="17"/>
  <c r="G40" i="17" s="1"/>
  <c r="G37" i="17"/>
  <c r="K87" i="3" l="1"/>
  <c r="K9" i="15"/>
  <c r="L86" i="3"/>
  <c r="G30" i="3"/>
  <c r="H29" i="3"/>
  <c r="L17" i="3"/>
  <c r="C26" i="11"/>
  <c r="C27" i="11" s="1"/>
  <c r="C19" i="30"/>
  <c r="C23" i="11"/>
  <c r="C24" i="11" s="1"/>
  <c r="C18" i="30"/>
  <c r="I29" i="14"/>
  <c r="I8" i="6"/>
  <c r="H69" i="4"/>
  <c r="I6" i="17"/>
  <c r="I18" i="18"/>
  <c r="I19" i="18" s="1"/>
  <c r="I14" i="18"/>
  <c r="I5" i="4"/>
  <c r="I6" i="4" s="1"/>
  <c r="I22" i="12"/>
  <c r="J43" i="4"/>
  <c r="J51" i="4"/>
  <c r="C7" i="11"/>
  <c r="K13" i="18"/>
  <c r="K42" i="4"/>
  <c r="K51" i="4" s="1"/>
  <c r="I52" i="4"/>
  <c r="K43" i="5"/>
  <c r="J4" i="4"/>
  <c r="K19" i="12"/>
  <c r="I64" i="4"/>
  <c r="K60" i="4"/>
  <c r="K63" i="4" s="1"/>
  <c r="M16" i="3"/>
  <c r="K5" i="18"/>
  <c r="K6" i="18" s="1"/>
  <c r="J63" i="4"/>
  <c r="J56" i="4" s="1"/>
  <c r="B5" i="9" s="1"/>
  <c r="I57" i="4"/>
  <c r="H27" i="4"/>
  <c r="I25" i="12" s="1"/>
  <c r="H9" i="4"/>
  <c r="H10" i="4" s="1"/>
  <c r="H17" i="4" s="1"/>
  <c r="H18" i="4" s="1"/>
  <c r="H23" i="4" s="1"/>
  <c r="I8" i="4"/>
  <c r="I16" i="4" s="1"/>
  <c r="I33" i="4" s="1"/>
  <c r="I68" i="4"/>
  <c r="L46" i="5"/>
  <c r="L21" i="4"/>
  <c r="J76" i="4"/>
  <c r="I14" i="4"/>
  <c r="K12" i="4"/>
  <c r="K20" i="4"/>
  <c r="J13" i="4"/>
  <c r="O8" i="3"/>
  <c r="N45" i="4" s="1"/>
  <c r="M45" i="4"/>
  <c r="K75" i="4"/>
  <c r="L72" i="4"/>
  <c r="M45" i="5" s="1"/>
  <c r="K73" i="4"/>
  <c r="K81" i="4"/>
  <c r="M87" i="4"/>
  <c r="L48" i="4"/>
  <c r="L49" i="4" s="1"/>
  <c r="A59" i="10" l="1"/>
  <c r="A53" i="10"/>
  <c r="A58" i="10"/>
  <c r="A57" i="10"/>
  <c r="A56" i="10"/>
  <c r="A55" i="10"/>
  <c r="A54" i="10"/>
  <c r="L87" i="3"/>
  <c r="L9" i="15"/>
  <c r="M86" i="3"/>
  <c r="K56" i="4"/>
  <c r="K8" i="4" s="1"/>
  <c r="I29" i="3"/>
  <c r="H30" i="3"/>
  <c r="M17" i="3"/>
  <c r="C5" i="11"/>
  <c r="C17" i="11" s="1"/>
  <c r="K36" i="10"/>
  <c r="C13" i="30"/>
  <c r="C20" i="11"/>
  <c r="C21" i="11" s="1"/>
  <c r="C16" i="30"/>
  <c r="J128" i="3"/>
  <c r="I30" i="14" s="1"/>
  <c r="I36" i="14" s="1"/>
  <c r="H31" i="4"/>
  <c r="I5" i="16" s="1"/>
  <c r="I20" i="18"/>
  <c r="J18" i="18"/>
  <c r="J5" i="12"/>
  <c r="I69" i="4"/>
  <c r="J6" i="17"/>
  <c r="J6" i="16" s="1"/>
  <c r="J18" i="16" s="1"/>
  <c r="J28" i="6" s="1"/>
  <c r="J52" i="4"/>
  <c r="J5" i="4"/>
  <c r="J6" i="4" s="1"/>
  <c r="K43" i="4"/>
  <c r="L43" i="5"/>
  <c r="L13" i="18"/>
  <c r="J22" i="12"/>
  <c r="J14" i="18"/>
  <c r="K4" i="4"/>
  <c r="L42" i="4"/>
  <c r="L19" i="12"/>
  <c r="J64" i="4"/>
  <c r="K61" i="4"/>
  <c r="L5" i="18"/>
  <c r="L6" i="18" s="1"/>
  <c r="L60" i="4"/>
  <c r="L61" i="4" s="1"/>
  <c r="N16" i="3"/>
  <c r="I7" i="5"/>
  <c r="D10" i="22"/>
  <c r="K64" i="4"/>
  <c r="H24" i="4"/>
  <c r="I27" i="4"/>
  <c r="D28" i="9"/>
  <c r="J68" i="4"/>
  <c r="I9" i="4"/>
  <c r="I10" i="4" s="1"/>
  <c r="I17" i="4" s="1"/>
  <c r="I18" i="4" s="1"/>
  <c r="I23" i="4" s="1"/>
  <c r="J57" i="4"/>
  <c r="J8" i="4"/>
  <c r="M21" i="4"/>
  <c r="K76" i="4"/>
  <c r="M46" i="5"/>
  <c r="J14" i="4"/>
  <c r="L12" i="4"/>
  <c r="L20" i="4"/>
  <c r="K13" i="4"/>
  <c r="M72" i="4"/>
  <c r="N45" i="5" s="1"/>
  <c r="L73" i="4"/>
  <c r="L75" i="4"/>
  <c r="N87" i="4"/>
  <c r="K52" i="4"/>
  <c r="M48" i="4"/>
  <c r="M49" i="4" s="1"/>
  <c r="L81" i="4"/>
  <c r="J20" i="18" l="1"/>
  <c r="J19" i="18"/>
  <c r="M87" i="3"/>
  <c r="M9" i="15"/>
  <c r="N86" i="3"/>
  <c r="K16" i="4"/>
  <c r="K33" i="4" s="1"/>
  <c r="K68" i="4"/>
  <c r="K9" i="4" s="1"/>
  <c r="K10" i="4" s="1"/>
  <c r="K57" i="4"/>
  <c r="C12" i="30"/>
  <c r="J29" i="3"/>
  <c r="I30" i="3"/>
  <c r="H31" i="3"/>
  <c r="N17" i="3"/>
  <c r="B45" i="11"/>
  <c r="B23" i="32" s="1"/>
  <c r="J25" i="12"/>
  <c r="I31" i="14"/>
  <c r="J6" i="12"/>
  <c r="I31" i="4"/>
  <c r="I6" i="5"/>
  <c r="H35" i="4"/>
  <c r="H36" i="4" s="1"/>
  <c r="J27" i="4"/>
  <c r="K25" i="12" s="1"/>
  <c r="K6" i="17"/>
  <c r="K7" i="5" s="1"/>
  <c r="I28" i="4"/>
  <c r="K14" i="18"/>
  <c r="K22" i="12"/>
  <c r="C17" i="30" s="1"/>
  <c r="L43" i="4"/>
  <c r="L51" i="4"/>
  <c r="M13" i="18"/>
  <c r="K5" i="4"/>
  <c r="K6" i="4" s="1"/>
  <c r="M42" i="4"/>
  <c r="M43" i="5"/>
  <c r="L4" i="4"/>
  <c r="L63" i="4"/>
  <c r="M19" i="12"/>
  <c r="O16" i="3"/>
  <c r="O17" i="3" s="1"/>
  <c r="M60" i="4"/>
  <c r="M61" i="4" s="1"/>
  <c r="M5" i="18"/>
  <c r="M6" i="18" s="1"/>
  <c r="I6" i="16"/>
  <c r="I13" i="16" s="1"/>
  <c r="J7" i="5"/>
  <c r="I24" i="4"/>
  <c r="J69" i="4"/>
  <c r="J13" i="16"/>
  <c r="J9" i="4"/>
  <c r="J10" i="4" s="1"/>
  <c r="J16" i="4"/>
  <c r="J30" i="16"/>
  <c r="N46" i="5"/>
  <c r="L76" i="4"/>
  <c r="K14" i="4"/>
  <c r="M20" i="4"/>
  <c r="M12" i="4"/>
  <c r="N21" i="4"/>
  <c r="L13" i="4"/>
  <c r="N72" i="4"/>
  <c r="O45" i="5" s="1"/>
  <c r="M73" i="4"/>
  <c r="M75" i="4"/>
  <c r="N48" i="4"/>
  <c r="M81" i="4"/>
  <c r="L14" i="18"/>
  <c r="L22" i="12"/>
  <c r="I14" i="16"/>
  <c r="I14" i="6" s="1"/>
  <c r="I12" i="16"/>
  <c r="I13" i="6" s="1"/>
  <c r="I19" i="16"/>
  <c r="I29" i="6" s="1"/>
  <c r="K27" i="4" l="1"/>
  <c r="L25" i="12" s="1"/>
  <c r="N87" i="3"/>
  <c r="N9" i="15"/>
  <c r="O86" i="3"/>
  <c r="K69" i="4"/>
  <c r="L6" i="17"/>
  <c r="L7" i="5" s="1"/>
  <c r="L18" i="18"/>
  <c r="L19" i="18" s="1"/>
  <c r="L56" i="4"/>
  <c r="L57" i="4" s="1"/>
  <c r="I31" i="3"/>
  <c r="K29" i="3"/>
  <c r="J30" i="3"/>
  <c r="I32" i="4"/>
  <c r="J5" i="16"/>
  <c r="J12" i="16" s="1"/>
  <c r="J13" i="6" s="1"/>
  <c r="J29" i="14"/>
  <c r="J8" i="6"/>
  <c r="L5" i="12"/>
  <c r="J33" i="4"/>
  <c r="J31" i="4" s="1"/>
  <c r="K5" i="16" s="1"/>
  <c r="K14" i="16" s="1"/>
  <c r="K14" i="6" s="1"/>
  <c r="D6" i="22"/>
  <c r="K6" i="12"/>
  <c r="I35" i="4"/>
  <c r="I36" i="4" s="1"/>
  <c r="J6" i="5"/>
  <c r="I43" i="14" s="1"/>
  <c r="H10" i="26"/>
  <c r="H41" i="14"/>
  <c r="I5" i="17"/>
  <c r="I5" i="7"/>
  <c r="H43" i="14"/>
  <c r="J28" i="4"/>
  <c r="J28" i="16"/>
  <c r="K5" i="12"/>
  <c r="K18" i="18"/>
  <c r="K19" i="18" s="1"/>
  <c r="D5" i="22"/>
  <c r="L52" i="4"/>
  <c r="M14" i="18" s="1"/>
  <c r="N43" i="5"/>
  <c r="L5" i="4"/>
  <c r="L6" i="4" s="1"/>
  <c r="M43" i="4"/>
  <c r="M51" i="4"/>
  <c r="M52" i="4" s="1"/>
  <c r="N13" i="18"/>
  <c r="M4" i="4"/>
  <c r="N49" i="4"/>
  <c r="N42" i="4"/>
  <c r="L64" i="4"/>
  <c r="N19" i="12"/>
  <c r="D15" i="2"/>
  <c r="N60" i="4"/>
  <c r="N61" i="4" s="1"/>
  <c r="M63" i="4"/>
  <c r="I18" i="16"/>
  <c r="I28" i="6" s="1"/>
  <c r="N5" i="18"/>
  <c r="N6" i="18" s="1"/>
  <c r="J12" i="6"/>
  <c r="K6" i="16"/>
  <c r="K18" i="16" s="1"/>
  <c r="K28" i="6" s="1"/>
  <c r="J17" i="4"/>
  <c r="J18" i="4" s="1"/>
  <c r="J23" i="4" s="1"/>
  <c r="J24" i="4" s="1"/>
  <c r="I12" i="6"/>
  <c r="M76" i="4"/>
  <c r="O46" i="5"/>
  <c r="K17" i="4"/>
  <c r="K18" i="4" s="1"/>
  <c r="K23" i="4" s="1"/>
  <c r="L14" i="4"/>
  <c r="N12" i="4"/>
  <c r="N20" i="4"/>
  <c r="M13" i="4"/>
  <c r="N75" i="4"/>
  <c r="N73" i="4"/>
  <c r="I29" i="16"/>
  <c r="I15" i="16"/>
  <c r="I28" i="16"/>
  <c r="N81" i="4"/>
  <c r="K24" i="4" l="1"/>
  <c r="K31" i="4"/>
  <c r="K35" i="4" s="1"/>
  <c r="K36" i="4" s="1"/>
  <c r="K28" i="4"/>
  <c r="L6" i="12"/>
  <c r="O87" i="3"/>
  <c r="O9" i="15"/>
  <c r="L20" i="18"/>
  <c r="L8" i="4"/>
  <c r="L16" i="4" s="1"/>
  <c r="L33" i="4" s="1"/>
  <c r="L68" i="4"/>
  <c r="M6" i="17" s="1"/>
  <c r="M7" i="5" s="1"/>
  <c r="L6" i="16"/>
  <c r="L13" i="16" s="1"/>
  <c r="L28" i="16" s="1"/>
  <c r="M64" i="4"/>
  <c r="K30" i="3"/>
  <c r="L29" i="3"/>
  <c r="J31" i="3"/>
  <c r="K128" i="3"/>
  <c r="J30" i="14" s="1"/>
  <c r="J36" i="14" s="1"/>
  <c r="I10" i="26"/>
  <c r="J5" i="17"/>
  <c r="J5" i="7"/>
  <c r="I41" i="14"/>
  <c r="K6" i="5"/>
  <c r="J32" i="4"/>
  <c r="J35" i="4"/>
  <c r="J36" i="4" s="1"/>
  <c r="K20" i="18"/>
  <c r="M22" i="12"/>
  <c r="M5" i="4"/>
  <c r="M6" i="4" s="1"/>
  <c r="O13" i="18"/>
  <c r="N51" i="4"/>
  <c r="N52" i="4" s="1"/>
  <c r="N43" i="4"/>
  <c r="O43" i="5"/>
  <c r="N4" i="4"/>
  <c r="I30" i="16"/>
  <c r="I31" i="16" s="1"/>
  <c r="M56" i="4"/>
  <c r="M57" i="4" s="1"/>
  <c r="O19" i="12"/>
  <c r="O5" i="18"/>
  <c r="E10" i="22" s="1"/>
  <c r="N63" i="4"/>
  <c r="I36" i="6"/>
  <c r="I20" i="16"/>
  <c r="I23" i="16" s="1"/>
  <c r="K13" i="16"/>
  <c r="K30" i="16"/>
  <c r="J14" i="16"/>
  <c r="J14" i="6" s="1"/>
  <c r="J19" i="16"/>
  <c r="J29" i="6" s="1"/>
  <c r="J29" i="16"/>
  <c r="J31" i="16" s="1"/>
  <c r="K19" i="16"/>
  <c r="K29" i="6" s="1"/>
  <c r="K12" i="16"/>
  <c r="N76" i="4"/>
  <c r="M14" i="4"/>
  <c r="N13" i="4"/>
  <c r="N22" i="12"/>
  <c r="N14" i="18"/>
  <c r="K32" i="4" l="1"/>
  <c r="L6" i="5"/>
  <c r="L5" i="7" s="1"/>
  <c r="L5" i="16"/>
  <c r="L14" i="16" s="1"/>
  <c r="L14" i="6" s="1"/>
  <c r="M6" i="16"/>
  <c r="M13" i="16" s="1"/>
  <c r="L27" i="4"/>
  <c r="M25" i="12" s="1"/>
  <c r="M18" i="18"/>
  <c r="M5" i="12"/>
  <c r="L12" i="6"/>
  <c r="L9" i="4"/>
  <c r="L10" i="4" s="1"/>
  <c r="L17" i="4" s="1"/>
  <c r="L18" i="4" s="1"/>
  <c r="L23" i="4" s="1"/>
  <c r="L18" i="16"/>
  <c r="L28" i="6" s="1"/>
  <c r="L69" i="4"/>
  <c r="N64" i="4"/>
  <c r="L30" i="3"/>
  <c r="M29" i="3"/>
  <c r="K31" i="3"/>
  <c r="J31" i="14"/>
  <c r="K5" i="7"/>
  <c r="J10" i="26"/>
  <c r="J43" i="14"/>
  <c r="J41" i="14"/>
  <c r="K5" i="17"/>
  <c r="N5" i="4"/>
  <c r="N6" i="4" s="1"/>
  <c r="O6" i="18"/>
  <c r="M8" i="4"/>
  <c r="M16" i="4" s="1"/>
  <c r="M33" i="4" s="1"/>
  <c r="M68" i="4"/>
  <c r="N56" i="4"/>
  <c r="N8" i="4" s="1"/>
  <c r="N16" i="4" s="1"/>
  <c r="N33" i="4" s="1"/>
  <c r="K12" i="6"/>
  <c r="K28" i="16"/>
  <c r="K15" i="16"/>
  <c r="J36" i="6"/>
  <c r="J20" i="16"/>
  <c r="J15" i="16"/>
  <c r="K13" i="6"/>
  <c r="K29" i="16"/>
  <c r="K20" i="16"/>
  <c r="N14" i="4"/>
  <c r="I25" i="16"/>
  <c r="O14" i="18"/>
  <c r="O22" i="12"/>
  <c r="M20" i="18" l="1"/>
  <c r="M19" i="18"/>
  <c r="K43" i="14"/>
  <c r="K10" i="26"/>
  <c r="L5" i="17"/>
  <c r="K41" i="14"/>
  <c r="L12" i="16"/>
  <c r="L13" i="6" s="1"/>
  <c r="L19" i="16"/>
  <c r="L29" i="6" s="1"/>
  <c r="M18" i="16"/>
  <c r="M30" i="16" s="1"/>
  <c r="L31" i="4"/>
  <c r="M5" i="16" s="1"/>
  <c r="M12" i="16" s="1"/>
  <c r="M13" i="6" s="1"/>
  <c r="M6" i="12"/>
  <c r="L24" i="4"/>
  <c r="L28" i="4"/>
  <c r="L30" i="16"/>
  <c r="N29" i="3"/>
  <c r="M30" i="3"/>
  <c r="L31" i="3"/>
  <c r="K29" i="14"/>
  <c r="K8" i="6"/>
  <c r="O18" i="18"/>
  <c r="O19" i="18" s="1"/>
  <c r="D10" i="2"/>
  <c r="E5" i="22"/>
  <c r="O5" i="12"/>
  <c r="M69" i="4"/>
  <c r="N6" i="17"/>
  <c r="N5" i="12"/>
  <c r="N18" i="18"/>
  <c r="N19" i="18" s="1"/>
  <c r="M27" i="4"/>
  <c r="N25" i="12" s="1"/>
  <c r="N68" i="4"/>
  <c r="M9" i="4"/>
  <c r="M10" i="4" s="1"/>
  <c r="M17" i="4" s="1"/>
  <c r="M18" i="4" s="1"/>
  <c r="M23" i="4" s="1"/>
  <c r="N57" i="4"/>
  <c r="K36" i="6"/>
  <c r="K23" i="16"/>
  <c r="K31" i="16"/>
  <c r="J23" i="16"/>
  <c r="M12" i="6"/>
  <c r="M28" i="16"/>
  <c r="L15" i="16" l="1"/>
  <c r="L36" i="6"/>
  <c r="L20" i="16"/>
  <c r="L29" i="16"/>
  <c r="L31" i="16" s="1"/>
  <c r="M28" i="6"/>
  <c r="L32" i="4"/>
  <c r="M6" i="5"/>
  <c r="M5" i="7" s="1"/>
  <c r="L35" i="4"/>
  <c r="L36" i="4" s="1"/>
  <c r="N30" i="3"/>
  <c r="O29" i="3"/>
  <c r="M31" i="3"/>
  <c r="L128" i="3"/>
  <c r="K30" i="14" s="1"/>
  <c r="K36" i="14" s="1"/>
  <c r="N6" i="12"/>
  <c r="M31" i="4"/>
  <c r="O6" i="17"/>
  <c r="O7" i="5" s="1"/>
  <c r="M14" i="16"/>
  <c r="M15" i="16" s="1"/>
  <c r="M29" i="16"/>
  <c r="M31" i="16" s="1"/>
  <c r="M19" i="16"/>
  <c r="M29" i="6" s="1"/>
  <c r="M28" i="4"/>
  <c r="N20" i="18"/>
  <c r="M24" i="4"/>
  <c r="N9" i="4"/>
  <c r="N10" i="4" s="1"/>
  <c r="N17" i="4" s="1"/>
  <c r="N18" i="4" s="1"/>
  <c r="N23" i="4" s="1"/>
  <c r="N69" i="4"/>
  <c r="N27" i="4"/>
  <c r="O25" i="12" s="1"/>
  <c r="O20" i="18"/>
  <c r="K25" i="16"/>
  <c r="J25" i="16"/>
  <c r="J24" i="16"/>
  <c r="K24" i="16"/>
  <c r="K14" i="7" s="1"/>
  <c r="G10" i="8" s="1"/>
  <c r="N7" i="5"/>
  <c r="N6" i="16"/>
  <c r="L23" i="16" l="1"/>
  <c r="L24" i="16" s="1"/>
  <c r="L14" i="7" s="1"/>
  <c r="H10" i="8" s="1"/>
  <c r="L10" i="26"/>
  <c r="L41" i="14"/>
  <c r="L43" i="14"/>
  <c r="M5" i="17"/>
  <c r="O30" i="3"/>
  <c r="N31" i="3"/>
  <c r="N6" i="5"/>
  <c r="N5" i="7" s="1"/>
  <c r="N5" i="16"/>
  <c r="N14" i="16" s="1"/>
  <c r="N14" i="6" s="1"/>
  <c r="K31" i="14"/>
  <c r="M35" i="4"/>
  <c r="M36" i="4" s="1"/>
  <c r="E6" i="22"/>
  <c r="O6" i="12"/>
  <c r="D11" i="2"/>
  <c r="N31" i="4"/>
  <c r="M32" i="4"/>
  <c r="M14" i="6"/>
  <c r="M36" i="6" s="1"/>
  <c r="O6" i="16"/>
  <c r="O13" i="16" s="1"/>
  <c r="M20" i="16"/>
  <c r="M23" i="16" s="1"/>
  <c r="N28" i="4"/>
  <c r="N24" i="4"/>
  <c r="J14" i="7"/>
  <c r="F10" i="8" s="1"/>
  <c r="N18" i="16"/>
  <c r="N13" i="16"/>
  <c r="L25" i="16" l="1"/>
  <c r="C34" i="32"/>
  <c r="O31" i="3"/>
  <c r="B34" i="32"/>
  <c r="M10" i="26"/>
  <c r="M41" i="14"/>
  <c r="N5" i="17"/>
  <c r="M43" i="14"/>
  <c r="N32" i="4"/>
  <c r="O5" i="16"/>
  <c r="O14" i="16" s="1"/>
  <c r="O14" i="6" s="1"/>
  <c r="L29" i="14"/>
  <c r="L8" i="6"/>
  <c r="O6" i="5"/>
  <c r="N35" i="4"/>
  <c r="N36" i="4" s="1"/>
  <c r="O18" i="16"/>
  <c r="O28" i="6" s="1"/>
  <c r="O12" i="6"/>
  <c r="M25" i="16"/>
  <c r="M24" i="16"/>
  <c r="M14" i="7" s="1"/>
  <c r="I10" i="8" s="1"/>
  <c r="O28" i="16"/>
  <c r="N19" i="16"/>
  <c r="N29" i="6" s="1"/>
  <c r="N12" i="16"/>
  <c r="N13" i="6" s="1"/>
  <c r="N28" i="6"/>
  <c r="N30" i="16"/>
  <c r="N12" i="6"/>
  <c r="N28" i="16"/>
  <c r="M128" i="3" l="1"/>
  <c r="L30" i="14" s="1"/>
  <c r="L36" i="14" s="1"/>
  <c r="N10" i="26"/>
  <c r="O5" i="7"/>
  <c r="N43" i="14"/>
  <c r="O5" i="17"/>
  <c r="N41" i="14"/>
  <c r="O19" i="16"/>
  <c r="O29" i="6" s="1"/>
  <c r="O12" i="16"/>
  <c r="O13" i="6" s="1"/>
  <c r="O30" i="16"/>
  <c r="N20" i="16"/>
  <c r="N15" i="16"/>
  <c r="N29" i="16"/>
  <c r="N31" i="16" s="1"/>
  <c r="N36" i="6"/>
  <c r="L31" i="14" l="1"/>
  <c r="O36" i="6"/>
  <c r="O20" i="16"/>
  <c r="O15" i="16"/>
  <c r="O29" i="16"/>
  <c r="O31" i="16" s="1"/>
  <c r="N23" i="16"/>
  <c r="M29" i="14" l="1"/>
  <c r="M8" i="6"/>
  <c r="O23" i="16"/>
  <c r="N24" i="16"/>
  <c r="N25" i="16"/>
  <c r="N128" i="3" l="1"/>
  <c r="M30" i="14" s="1"/>
  <c r="M36" i="14" s="1"/>
  <c r="O24" i="16"/>
  <c r="O14" i="7" s="1"/>
  <c r="K10" i="8" s="1"/>
  <c r="O25" i="16"/>
  <c r="N14" i="7"/>
  <c r="J10" i="8" s="1"/>
  <c r="M31" i="14" l="1"/>
  <c r="N8" i="6" l="1"/>
  <c r="N29" i="14"/>
  <c r="O128" i="3" l="1"/>
  <c r="N30" i="14" s="1"/>
  <c r="N36" i="14" s="1"/>
  <c r="N31" i="14" l="1"/>
  <c r="O8" i="6" s="1"/>
  <c r="G7" i="14" l="1"/>
  <c r="G9" i="14" l="1"/>
  <c r="G34" i="14"/>
  <c r="H6" i="6" l="1"/>
  <c r="H5" i="14"/>
  <c r="H7" i="14" s="1"/>
  <c r="G10" i="14"/>
  <c r="H34" i="14" l="1"/>
  <c r="H9" i="14"/>
  <c r="I6" i="6" l="1"/>
  <c r="I5" i="14"/>
  <c r="H10" i="14"/>
  <c r="I7" i="14" l="1"/>
  <c r="I9" i="14" l="1"/>
  <c r="I34" i="14"/>
  <c r="I10" i="14" l="1"/>
  <c r="J6" i="6"/>
  <c r="J5" i="14"/>
  <c r="J7" i="14" s="1"/>
  <c r="J9" i="14" l="1"/>
  <c r="J34" i="14"/>
  <c r="G44" i="14"/>
  <c r="J10" i="14" l="1"/>
  <c r="K5" i="14"/>
  <c r="K7" i="14" s="1"/>
  <c r="K6" i="6"/>
  <c r="K9" i="14" l="1"/>
  <c r="K34" i="14"/>
  <c r="K10" i="14" l="1"/>
  <c r="L5" i="14"/>
  <c r="L7" i="14" s="1"/>
  <c r="L6" i="6"/>
  <c r="L9" i="14" l="1"/>
  <c r="L34" i="14"/>
  <c r="L10" i="14" l="1"/>
  <c r="M6" i="6"/>
  <c r="M5" i="14"/>
  <c r="M7" i="14" s="1"/>
  <c r="M9" i="14" l="1"/>
  <c r="H44" i="14"/>
  <c r="M34" i="14"/>
  <c r="M10" i="14" l="1"/>
  <c r="N6" i="6"/>
  <c r="N5" i="14"/>
  <c r="N7" i="14" s="1"/>
  <c r="N9" i="14" l="1"/>
  <c r="N34" i="14"/>
  <c r="N10" i="14" l="1"/>
  <c r="O6" i="6"/>
  <c r="I44" i="14" l="1"/>
  <c r="J44" i="14" l="1"/>
  <c r="K44" i="14" l="1"/>
  <c r="L44" i="14" l="1"/>
  <c r="M44" i="14" l="1"/>
  <c r="N44" i="14" l="1"/>
  <c r="F90" i="3" l="1"/>
  <c r="F10" i="25" s="1"/>
  <c r="F31" i="7"/>
  <c r="F5" i="25" s="1"/>
  <c r="E6" i="25"/>
  <c r="E7" i="25" s="1"/>
  <c r="E19" i="25" s="1"/>
  <c r="E34" i="15"/>
  <c r="F27" i="7" l="1"/>
  <c r="F28" i="7" s="1"/>
  <c r="F30" i="7" s="1"/>
  <c r="F34" i="15"/>
  <c r="F6" i="25"/>
  <c r="F7" i="25" s="1"/>
  <c r="F19" i="25" s="1"/>
  <c r="G90" i="3"/>
  <c r="G10" i="25" s="1"/>
  <c r="G31" i="7"/>
  <c r="G5" i="25" s="1"/>
  <c r="G7" i="25" s="1"/>
  <c r="G19" i="25" s="1"/>
  <c r="D7" i="14"/>
  <c r="E5" i="14" l="1"/>
  <c r="E7" i="14" s="1"/>
  <c r="E10" i="14" s="1"/>
  <c r="D10" i="14"/>
  <c r="D34" i="14"/>
  <c r="F5" i="14"/>
  <c r="F7" i="14" s="1"/>
  <c r="F10" i="14" s="1"/>
  <c r="F6" i="6"/>
  <c r="F34" i="14" l="1"/>
  <c r="F37" i="14" s="1"/>
  <c r="F45" i="14" s="1"/>
  <c r="E34" i="14"/>
  <c r="E22" i="14" s="1"/>
  <c r="E35" i="14" s="1"/>
  <c r="G19" i="5" l="1"/>
  <c r="G7" i="7" s="1"/>
  <c r="F49" i="14"/>
  <c r="F48" i="14"/>
  <c r="G21" i="5" l="1"/>
  <c r="G29" i="12" s="1"/>
  <c r="G14" i="12"/>
  <c r="G32" i="12" l="1"/>
  <c r="G33" i="12" s="1"/>
  <c r="G34" i="12"/>
  <c r="G26" i="5"/>
  <c r="G22" i="5"/>
  <c r="G29" i="5" l="1"/>
  <c r="G30" i="5" s="1"/>
  <c r="G6" i="7"/>
  <c r="D20" i="14"/>
  <c r="E7" i="15" s="1"/>
  <c r="E11" i="15" s="1"/>
  <c r="D47" i="14"/>
  <c r="E7" i="6"/>
  <c r="E19" i="14"/>
  <c r="E20" i="14" s="1"/>
  <c r="F7" i="15" s="1"/>
  <c r="F11" i="15" s="1"/>
  <c r="E47" i="14"/>
  <c r="F19" i="14"/>
  <c r="F20" i="14" s="1"/>
  <c r="F7" i="6"/>
  <c r="E29" i="14"/>
  <c r="E8" i="6"/>
  <c r="D30" i="14"/>
  <c r="D36" i="14" s="1"/>
  <c r="D37" i="14" s="1"/>
  <c r="D45" i="14" s="1"/>
  <c r="G7" i="15" l="1"/>
  <c r="G11" i="15" s="1"/>
  <c r="B124" i="3"/>
  <c r="C14" i="2"/>
  <c r="C9" i="22"/>
  <c r="G31" i="5"/>
  <c r="G13" i="12"/>
  <c r="G12" i="7"/>
  <c r="G16" i="7"/>
  <c r="E19" i="5"/>
  <c r="D48" i="14"/>
  <c r="D49" i="14"/>
  <c r="E9" i="6"/>
  <c r="E10" i="6" s="1"/>
  <c r="E17" i="6" s="1"/>
  <c r="B125" i="3" l="1"/>
  <c r="G20" i="14" s="1"/>
  <c r="I44" i="5"/>
  <c r="J44" i="5"/>
  <c r="L44" i="5"/>
  <c r="N44" i="5"/>
  <c r="E7" i="7"/>
  <c r="G35" i="7"/>
  <c r="G27" i="7"/>
  <c r="G28" i="7" s="1"/>
  <c r="G30" i="7" s="1"/>
  <c r="E14" i="12"/>
  <c r="E21" i="5"/>
  <c r="N20" i="14" l="1"/>
  <c r="O7" i="15" s="1"/>
  <c r="M20" i="14"/>
  <c r="N7" i="15" s="1"/>
  <c r="K20" i="14"/>
  <c r="L7" i="15" s="1"/>
  <c r="J20" i="14"/>
  <c r="K7" i="15" s="1"/>
  <c r="I20" i="14"/>
  <c r="J7" i="15" s="1"/>
  <c r="L20" i="14"/>
  <c r="M7" i="15" s="1"/>
  <c r="H20" i="14"/>
  <c r="I7" i="15" s="1"/>
  <c r="C29" i="18"/>
  <c r="C30" i="18" s="1"/>
  <c r="K44" i="5"/>
  <c r="C6" i="11"/>
  <c r="K31" i="10"/>
  <c r="M44" i="5"/>
  <c r="N10" i="18"/>
  <c r="N48" i="5"/>
  <c r="N21" i="12"/>
  <c r="J10" i="18"/>
  <c r="J21" i="12"/>
  <c r="J48" i="5"/>
  <c r="I48" i="5"/>
  <c r="I21" i="12"/>
  <c r="I10" i="18"/>
  <c r="L48" i="5"/>
  <c r="L10" i="18"/>
  <c r="L21" i="12"/>
  <c r="C35" i="18"/>
  <c r="C36" i="18" s="1"/>
  <c r="O44" i="5"/>
  <c r="H7" i="15"/>
  <c r="G22" i="14"/>
  <c r="G35" i="14" s="1"/>
  <c r="G37" i="14" s="1"/>
  <c r="E22" i="5"/>
  <c r="E26" i="5"/>
  <c r="E6" i="7" s="1"/>
  <c r="C40" i="18" l="1"/>
  <c r="N11" i="12"/>
  <c r="N54" i="5"/>
  <c r="M11" i="26"/>
  <c r="N49" i="5"/>
  <c r="N21" i="18"/>
  <c r="N10" i="12"/>
  <c r="M10" i="18"/>
  <c r="M48" i="5"/>
  <c r="M21" i="12"/>
  <c r="C49" i="18"/>
  <c r="C50" i="18" s="1"/>
  <c r="E49" i="18"/>
  <c r="F49" i="18"/>
  <c r="D49" i="18"/>
  <c r="C39" i="18"/>
  <c r="I49" i="5"/>
  <c r="I54" i="5"/>
  <c r="I10" i="12"/>
  <c r="I11" i="12"/>
  <c r="I21" i="18"/>
  <c r="H11" i="26"/>
  <c r="J54" i="5"/>
  <c r="J10" i="12"/>
  <c r="I11" i="26"/>
  <c r="J7" i="12"/>
  <c r="J49" i="5"/>
  <c r="J11" i="12"/>
  <c r="J21" i="18"/>
  <c r="B46" i="11"/>
  <c r="B24" i="32" s="1"/>
  <c r="C18" i="11"/>
  <c r="C30" i="11" s="1"/>
  <c r="C15" i="30"/>
  <c r="O21" i="12"/>
  <c r="O48" i="5"/>
  <c r="O10" i="18"/>
  <c r="C41" i="18"/>
  <c r="C42" i="18" s="1"/>
  <c r="C44" i="18" s="1"/>
  <c r="K11" i="26"/>
  <c r="L49" i="5"/>
  <c r="L54" i="5"/>
  <c r="L11" i="12"/>
  <c r="L21" i="18"/>
  <c r="L10" i="12"/>
  <c r="K10" i="18"/>
  <c r="K48" i="5"/>
  <c r="K21" i="12"/>
  <c r="G24" i="14"/>
  <c r="H19" i="5"/>
  <c r="H7" i="7" s="1"/>
  <c r="G49" i="14"/>
  <c r="H12" i="15"/>
  <c r="E16" i="7"/>
  <c r="E12" i="7"/>
  <c r="E29" i="5"/>
  <c r="E12" i="12" s="1"/>
  <c r="E91" i="3"/>
  <c r="E29" i="12" s="1"/>
  <c r="D23" i="9" l="1"/>
  <c r="D12" i="2"/>
  <c r="O49" i="5"/>
  <c r="O10" i="12"/>
  <c r="E7" i="22"/>
  <c r="O11" i="12"/>
  <c r="O21" i="18"/>
  <c r="N11" i="26"/>
  <c r="O7" i="12"/>
  <c r="O54" i="5"/>
  <c r="D50" i="18"/>
  <c r="C51" i="18"/>
  <c r="M11" i="12"/>
  <c r="M49" i="5"/>
  <c r="M21" i="18"/>
  <c r="M7" i="12"/>
  <c r="L11" i="26"/>
  <c r="M54" i="5"/>
  <c r="M10" i="12"/>
  <c r="L7" i="12"/>
  <c r="K11" i="12"/>
  <c r="B30" i="28"/>
  <c r="A20" i="10"/>
  <c r="F40" i="12"/>
  <c r="K54" i="5"/>
  <c r="A17" i="10"/>
  <c r="K7" i="12"/>
  <c r="C20" i="30"/>
  <c r="A19" i="10"/>
  <c r="K49" i="5"/>
  <c r="D8" i="22" s="1"/>
  <c r="K10" i="12"/>
  <c r="J11" i="26"/>
  <c r="K21" i="18"/>
  <c r="A23" i="10"/>
  <c r="A21" i="10"/>
  <c r="K30" i="10"/>
  <c r="A22" i="10"/>
  <c r="A18" i="10"/>
  <c r="D43" i="9"/>
  <c r="D7" i="22"/>
  <c r="N7" i="12"/>
  <c r="H17" i="15"/>
  <c r="H14" i="15"/>
  <c r="I5" i="15"/>
  <c r="H22" i="15"/>
  <c r="H35" i="5" s="1"/>
  <c r="H37" i="5" s="1"/>
  <c r="H23" i="15"/>
  <c r="H7" i="6"/>
  <c r="H19" i="14"/>
  <c r="G47" i="14"/>
  <c r="E32" i="12"/>
  <c r="E33" i="12" s="1"/>
  <c r="E34" i="12"/>
  <c r="F34" i="12"/>
  <c r="E35" i="7"/>
  <c r="E27" i="7"/>
  <c r="E28" i="7" s="1"/>
  <c r="E30" i="7" s="1"/>
  <c r="E31" i="5"/>
  <c r="E13" i="12"/>
  <c r="E30" i="5"/>
  <c r="F8" i="6"/>
  <c r="F10" i="6" s="1"/>
  <c r="F17" i="6" s="1"/>
  <c r="F29" i="14"/>
  <c r="C69" i="4"/>
  <c r="D50" i="3"/>
  <c r="D33" i="3"/>
  <c r="D57" i="4"/>
  <c r="C8" i="4"/>
  <c r="C9" i="4" s="1"/>
  <c r="E8" i="22" l="1"/>
  <c r="D13" i="2"/>
  <c r="E50" i="18"/>
  <c r="D51" i="18"/>
  <c r="B8" i="30"/>
  <c r="B36" i="29"/>
  <c r="I6" i="15"/>
  <c r="I8" i="15"/>
  <c r="H22" i="14" s="1"/>
  <c r="H35" i="14" s="1"/>
  <c r="H37" i="14" s="1"/>
  <c r="I10" i="15"/>
  <c r="H15" i="15"/>
  <c r="H23" i="6"/>
  <c r="H25" i="6" s="1"/>
  <c r="H36" i="15"/>
  <c r="H31" i="15"/>
  <c r="H56" i="5"/>
  <c r="H27" i="6"/>
  <c r="H18" i="15"/>
  <c r="C10" i="4"/>
  <c r="C16" i="4"/>
  <c r="C37" i="4" s="1"/>
  <c r="D76" i="3" s="1"/>
  <c r="F50" i="18" l="1"/>
  <c r="F51" i="18" s="1"/>
  <c r="E51" i="18"/>
  <c r="C53" i="18"/>
  <c r="A58" i="18" s="1"/>
  <c r="I19" i="5"/>
  <c r="I7" i="7" s="1"/>
  <c r="H45" i="14"/>
  <c r="H49" i="14"/>
  <c r="I21" i="15"/>
  <c r="I36" i="5" s="1"/>
  <c r="H24" i="14"/>
  <c r="D18" i="18"/>
  <c r="D11" i="12"/>
  <c r="E5" i="12"/>
  <c r="C17" i="4"/>
  <c r="C18" i="4" s="1"/>
  <c r="C23" i="4" s="1"/>
  <c r="C24" i="4" s="1"/>
  <c r="G8" i="4"/>
  <c r="G16" i="4" s="1"/>
  <c r="G33" i="4" s="1"/>
  <c r="G68" i="4"/>
  <c r="H44" i="5"/>
  <c r="H57" i="4"/>
  <c r="G57" i="4"/>
  <c r="I7" i="6" l="1"/>
  <c r="I19" i="14"/>
  <c r="H42" i="14"/>
  <c r="H47" i="14"/>
  <c r="H46" i="14"/>
  <c r="I23" i="15"/>
  <c r="I22" i="15"/>
  <c r="I35" i="5" s="1"/>
  <c r="I37" i="5" s="1"/>
  <c r="I38" i="5" s="1"/>
  <c r="I12" i="15"/>
  <c r="D21" i="18"/>
  <c r="D20" i="18"/>
  <c r="H18" i="18"/>
  <c r="H19" i="18" s="1"/>
  <c r="H5" i="12"/>
  <c r="H30" i="15"/>
  <c r="I5" i="12"/>
  <c r="G69" i="4"/>
  <c r="H6" i="17"/>
  <c r="G27" i="4"/>
  <c r="H25" i="12" s="1"/>
  <c r="B53" i="29" s="1"/>
  <c r="G9" i="4"/>
  <c r="G10" i="4" s="1"/>
  <c r="G17" i="4" s="1"/>
  <c r="G18" i="4" s="1"/>
  <c r="G23" i="4" s="1"/>
  <c r="H48" i="5"/>
  <c r="H21" i="12"/>
  <c r="B48" i="29" s="1"/>
  <c r="H10" i="18"/>
  <c r="I30" i="15" l="1"/>
  <c r="I29" i="15"/>
  <c r="I31" i="15"/>
  <c r="I56" i="5"/>
  <c r="I57" i="5" s="1"/>
  <c r="I59" i="5" s="1"/>
  <c r="I17" i="15"/>
  <c r="I36" i="15"/>
  <c r="I14" i="15"/>
  <c r="J5" i="15"/>
  <c r="I32" i="15"/>
  <c r="H49" i="5"/>
  <c r="H11" i="12"/>
  <c r="H10" i="12"/>
  <c r="H29" i="15"/>
  <c r="I6" i="12"/>
  <c r="G31" i="4"/>
  <c r="H5" i="16" s="1"/>
  <c r="H28" i="4"/>
  <c r="G24" i="4"/>
  <c r="H20" i="18"/>
  <c r="H54" i="5"/>
  <c r="H57" i="5" s="1"/>
  <c r="H59" i="5" s="1"/>
  <c r="H21" i="18"/>
  <c r="G11" i="26"/>
  <c r="F39" i="12"/>
  <c r="H32" i="15"/>
  <c r="I7" i="12"/>
  <c r="H7" i="12"/>
  <c r="I15" i="15" l="1"/>
  <c r="I23" i="6"/>
  <c r="I25" i="6" s="1"/>
  <c r="I18" i="15"/>
  <c r="I27" i="6"/>
  <c r="I30" i="6" s="1"/>
  <c r="J6" i="15"/>
  <c r="J10" i="15"/>
  <c r="J8" i="15"/>
  <c r="I58" i="5"/>
  <c r="H48" i="14"/>
  <c r="G35" i="4"/>
  <c r="G36" i="4" s="1"/>
  <c r="H6" i="5"/>
  <c r="G32" i="4"/>
  <c r="H32" i="4"/>
  <c r="H6" i="16"/>
  <c r="H7" i="5"/>
  <c r="G48" i="14"/>
  <c r="J21" i="15" l="1"/>
  <c r="J36" i="5" s="1"/>
  <c r="I22" i="14"/>
  <c r="I35" i="14" s="1"/>
  <c r="I37" i="14" s="1"/>
  <c r="H58" i="5"/>
  <c r="H38" i="5"/>
  <c r="H5" i="7"/>
  <c r="G45" i="14"/>
  <c r="G42" i="14"/>
  <c r="G10" i="26"/>
  <c r="G46" i="14"/>
  <c r="G43" i="14"/>
  <c r="G41" i="14"/>
  <c r="H5" i="17"/>
  <c r="H13" i="16"/>
  <c r="H18" i="16"/>
  <c r="H19" i="16"/>
  <c r="H29" i="6" s="1"/>
  <c r="H14" i="16"/>
  <c r="H14" i="6" s="1"/>
  <c r="H12" i="16"/>
  <c r="I24" i="14" l="1"/>
  <c r="J19" i="14" s="1"/>
  <c r="J19" i="5"/>
  <c r="J7" i="7" s="1"/>
  <c r="I45" i="14"/>
  <c r="I49" i="14"/>
  <c r="J22" i="15"/>
  <c r="J35" i="5" s="1"/>
  <c r="J37" i="5" s="1"/>
  <c r="J38" i="5" s="1"/>
  <c r="J23" i="15"/>
  <c r="J12" i="15"/>
  <c r="H15" i="16"/>
  <c r="H29" i="16"/>
  <c r="H13" i="6"/>
  <c r="H20" i="16"/>
  <c r="H30" i="16"/>
  <c r="H28" i="6"/>
  <c r="H30" i="6" s="1"/>
  <c r="H12" i="6"/>
  <c r="H28" i="16"/>
  <c r="I47" i="14" l="1"/>
  <c r="I42" i="14"/>
  <c r="I46" i="14"/>
  <c r="J7" i="6"/>
  <c r="J36" i="15"/>
  <c r="J32" i="15"/>
  <c r="J17" i="15"/>
  <c r="K5" i="15"/>
  <c r="J14" i="15"/>
  <c r="J30" i="15"/>
  <c r="J29" i="15"/>
  <c r="J56" i="5"/>
  <c r="J57" i="5" s="1"/>
  <c r="J59" i="5" s="1"/>
  <c r="J31" i="15"/>
  <c r="H31" i="16"/>
  <c r="H23" i="16"/>
  <c r="H36" i="6"/>
  <c r="J18" i="15" l="1"/>
  <c r="J27" i="6"/>
  <c r="J30" i="6" s="1"/>
  <c r="J58" i="5"/>
  <c r="I48" i="14"/>
  <c r="J15" i="15"/>
  <c r="J23" i="6"/>
  <c r="J25" i="6" s="1"/>
  <c r="K6" i="15"/>
  <c r="K8" i="15"/>
  <c r="K10" i="15"/>
  <c r="I24" i="16"/>
  <c r="H25" i="16"/>
  <c r="H24" i="16"/>
  <c r="K12" i="15" l="1"/>
  <c r="K21" i="15"/>
  <c r="K36" i="5" s="1"/>
  <c r="J22" i="14"/>
  <c r="J35" i="14" s="1"/>
  <c r="J37" i="14" s="1"/>
  <c r="I14" i="7"/>
  <c r="E10" i="8" s="1"/>
  <c r="H14" i="7"/>
  <c r="D10" i="8" s="1"/>
  <c r="L5" i="15" l="1"/>
  <c r="K17" i="15"/>
  <c r="K14" i="15"/>
  <c r="K32" i="15"/>
  <c r="K19" i="5"/>
  <c r="K7" i="7" s="1"/>
  <c r="J45" i="14"/>
  <c r="J49" i="14"/>
  <c r="J24" i="14"/>
  <c r="K22" i="15"/>
  <c r="K35" i="5" s="1"/>
  <c r="K37" i="5" s="1"/>
  <c r="K38" i="5" s="1"/>
  <c r="K23" i="15"/>
  <c r="F27" i="4"/>
  <c r="G25" i="12" s="1"/>
  <c r="F13" i="4"/>
  <c r="F14" i="4" s="1"/>
  <c r="F17" i="4" s="1"/>
  <c r="F18" i="4" s="1"/>
  <c r="F23" i="4" s="1"/>
  <c r="F76" i="4"/>
  <c r="K29" i="15" l="1"/>
  <c r="K30" i="15"/>
  <c r="K31" i="15"/>
  <c r="K56" i="5"/>
  <c r="K57" i="5" s="1"/>
  <c r="K59" i="5" s="1"/>
  <c r="K15" i="15"/>
  <c r="K23" i="6"/>
  <c r="K25" i="6" s="1"/>
  <c r="K27" i="6"/>
  <c r="K30" i="6" s="1"/>
  <c r="K18" i="15"/>
  <c r="K36" i="15"/>
  <c r="K19" i="14"/>
  <c r="K7" i="6"/>
  <c r="J46" i="14"/>
  <c r="J42" i="14"/>
  <c r="J47" i="14"/>
  <c r="L10" i="15"/>
  <c r="L6" i="15"/>
  <c r="L8" i="15"/>
  <c r="C11" i="2"/>
  <c r="F33" i="4"/>
  <c r="G29" i="15"/>
  <c r="C6" i="22"/>
  <c r="G6" i="12"/>
  <c r="G22" i="18"/>
  <c r="G10" i="12"/>
  <c r="G49" i="5"/>
  <c r="G12" i="12"/>
  <c r="H6" i="12"/>
  <c r="F28" i="4"/>
  <c r="G28" i="4"/>
  <c r="F24" i="4"/>
  <c r="K22" i="14" l="1"/>
  <c r="K35" i="14" s="1"/>
  <c r="K37" i="14" s="1"/>
  <c r="L21" i="15"/>
  <c r="L36" i="5" s="1"/>
  <c r="K58" i="5"/>
  <c r="J48" i="14"/>
  <c r="F35" i="4"/>
  <c r="F36" i="4" s="1"/>
  <c r="F37" i="4"/>
  <c r="G76" i="3" s="1"/>
  <c r="C8" i="22"/>
  <c r="C13" i="2"/>
  <c r="G105" i="3"/>
  <c r="G29" i="16"/>
  <c r="G31" i="16" s="1"/>
  <c r="G7" i="16"/>
  <c r="G106" i="3"/>
  <c r="G25" i="16"/>
  <c r="L23" i="15" l="1"/>
  <c r="L22" i="15"/>
  <c r="L35" i="5" s="1"/>
  <c r="L37" i="5" s="1"/>
  <c r="L38" i="5" s="1"/>
  <c r="L12" i="15"/>
  <c r="K24" i="14"/>
  <c r="L19" i="5"/>
  <c r="L7" i="7" s="1"/>
  <c r="K45" i="14"/>
  <c r="K49" i="14"/>
  <c r="H16" i="12"/>
  <c r="L30" i="15" l="1"/>
  <c r="L29" i="15"/>
  <c r="L56" i="5"/>
  <c r="L57" i="5" s="1"/>
  <c r="L59" i="5" s="1"/>
  <c r="L31" i="15"/>
  <c r="L7" i="6"/>
  <c r="L19" i="14"/>
  <c r="K42" i="14"/>
  <c r="K46" i="14"/>
  <c r="K47" i="14"/>
  <c r="L32" i="15"/>
  <c r="L14" i="15"/>
  <c r="M5" i="15"/>
  <c r="L17" i="15"/>
  <c r="L36" i="15"/>
  <c r="H9" i="5"/>
  <c r="H11" i="17"/>
  <c r="H8" i="17"/>
  <c r="H22" i="18" s="1"/>
  <c r="H24" i="17"/>
  <c r="H36" i="17"/>
  <c r="H7" i="17"/>
  <c r="L23" i="6" l="1"/>
  <c r="L25" i="6" s="1"/>
  <c r="L15" i="15"/>
  <c r="L58" i="5"/>
  <c r="K48" i="14"/>
  <c r="L18" i="15"/>
  <c r="L27" i="6"/>
  <c r="L30" i="6" s="1"/>
  <c r="M6" i="15"/>
  <c r="M8" i="15"/>
  <c r="L22" i="14" s="1"/>
  <c r="L35" i="14" s="1"/>
  <c r="L37" i="14" s="1"/>
  <c r="M10" i="15"/>
  <c r="H10" i="5"/>
  <c r="H11" i="5"/>
  <c r="H9" i="17"/>
  <c r="H15" i="12" s="1"/>
  <c r="H26" i="17"/>
  <c r="G9" i="26"/>
  <c r="H27" i="17"/>
  <c r="H13" i="5"/>
  <c r="H19" i="17"/>
  <c r="H12" i="5"/>
  <c r="H25" i="17"/>
  <c r="H37" i="17"/>
  <c r="H39" i="17"/>
  <c r="H40" i="17" s="1"/>
  <c r="L24" i="14" l="1"/>
  <c r="M19" i="14" s="1"/>
  <c r="M19" i="5"/>
  <c r="M7" i="7" s="1"/>
  <c r="L45" i="14"/>
  <c r="L49" i="14"/>
  <c r="M21" i="15"/>
  <c r="M36" i="5" s="1"/>
  <c r="H42" i="17"/>
  <c r="H43" i="17" s="1"/>
  <c r="H30" i="17"/>
  <c r="H20" i="17"/>
  <c r="H16" i="17"/>
  <c r="H14" i="5"/>
  <c r="H16" i="5" s="1"/>
  <c r="H34" i="5" s="1"/>
  <c r="H39" i="5" s="1"/>
  <c r="H15" i="17"/>
  <c r="H28" i="17"/>
  <c r="H13" i="17"/>
  <c r="H14" i="17"/>
  <c r="M7" i="6" l="1"/>
  <c r="L47" i="14"/>
  <c r="L46" i="14"/>
  <c r="L42" i="14"/>
  <c r="M22" i="15"/>
  <c r="M35" i="5" s="1"/>
  <c r="M37" i="5" s="1"/>
  <c r="M38" i="5" s="1"/>
  <c r="M23" i="15"/>
  <c r="M12" i="15"/>
  <c r="H40" i="5"/>
  <c r="D7" i="8"/>
  <c r="H21" i="5"/>
  <c r="H29" i="12" s="1"/>
  <c r="H17" i="5"/>
  <c r="H17" i="17"/>
  <c r="H45" i="17"/>
  <c r="H31" i="17"/>
  <c r="M17" i="15" l="1"/>
  <c r="M14" i="15"/>
  <c r="M36" i="15"/>
  <c r="N5" i="15"/>
  <c r="M32" i="15"/>
  <c r="M31" i="15"/>
  <c r="M30" i="15"/>
  <c r="M56" i="5"/>
  <c r="M57" i="5" s="1"/>
  <c r="M59" i="5" s="1"/>
  <c r="M29" i="15"/>
  <c r="D8" i="8"/>
  <c r="D12" i="8" s="1"/>
  <c r="H22" i="5"/>
  <c r="N6" i="15" l="1"/>
  <c r="N10" i="15"/>
  <c r="N8" i="15"/>
  <c r="M58" i="5"/>
  <c r="L48" i="14"/>
  <c r="M15" i="15"/>
  <c r="M23" i="6"/>
  <c r="M25" i="6" s="1"/>
  <c r="M27" i="6"/>
  <c r="M30" i="6" s="1"/>
  <c r="M18" i="15"/>
  <c r="D16" i="8"/>
  <c r="I24" i="17"/>
  <c r="O7" i="17"/>
  <c r="I11" i="17"/>
  <c r="N21" i="15" l="1"/>
  <c r="N36" i="5" s="1"/>
  <c r="M22" i="14"/>
  <c r="M35" i="14" s="1"/>
  <c r="M37" i="14" s="1"/>
  <c r="O36" i="17"/>
  <c r="O39" i="17" s="1"/>
  <c r="O40" i="17" s="1"/>
  <c r="O8" i="17"/>
  <c r="O22" i="18" s="1"/>
  <c r="O11" i="17"/>
  <c r="O24" i="17"/>
  <c r="I8" i="17"/>
  <c r="I22" i="18" s="1"/>
  <c r="I7" i="17"/>
  <c r="I36" i="17"/>
  <c r="N16" i="12"/>
  <c r="N9" i="5"/>
  <c r="J11" i="17"/>
  <c r="J7" i="17"/>
  <c r="J24" i="17"/>
  <c r="J8" i="17"/>
  <c r="J22" i="18" s="1"/>
  <c r="J36" i="17"/>
  <c r="O12" i="5"/>
  <c r="O25" i="17"/>
  <c r="M16" i="12"/>
  <c r="M9" i="5"/>
  <c r="M36" i="17"/>
  <c r="M11" i="17"/>
  <c r="M8" i="17"/>
  <c r="M22" i="18" s="1"/>
  <c r="M24" i="17"/>
  <c r="M7" i="17"/>
  <c r="L16" i="12"/>
  <c r="L9" i="5"/>
  <c r="N11" i="17"/>
  <c r="N7" i="17"/>
  <c r="N24" i="17"/>
  <c r="N8" i="17"/>
  <c r="N22" i="18" s="1"/>
  <c r="N36" i="17"/>
  <c r="K7" i="17"/>
  <c r="K8" i="17"/>
  <c r="K22" i="18" s="1"/>
  <c r="K24" i="17"/>
  <c r="K36" i="17"/>
  <c r="K11" i="17"/>
  <c r="O9" i="5"/>
  <c r="O16" i="12"/>
  <c r="I13" i="5"/>
  <c r="I27" i="17"/>
  <c r="J9" i="5"/>
  <c r="J16" i="12"/>
  <c r="I16" i="12"/>
  <c r="I9" i="5"/>
  <c r="K9" i="5"/>
  <c r="K16" i="12"/>
  <c r="L7" i="17"/>
  <c r="L24" i="17"/>
  <c r="L11" i="17"/>
  <c r="L36" i="17"/>
  <c r="L8" i="17"/>
  <c r="L22" i="18" s="1"/>
  <c r="M24" i="14" l="1"/>
  <c r="N19" i="5"/>
  <c r="N7" i="7" s="1"/>
  <c r="M45" i="14"/>
  <c r="M49" i="14"/>
  <c r="N22" i="15"/>
  <c r="N35" i="5" s="1"/>
  <c r="N37" i="5" s="1"/>
  <c r="N38" i="5" s="1"/>
  <c r="N23" i="15"/>
  <c r="N12" i="15"/>
  <c r="O37" i="17"/>
  <c r="M15" i="17"/>
  <c r="J19" i="17"/>
  <c r="I39" i="17"/>
  <c r="I40" i="17" s="1"/>
  <c r="I37" i="17"/>
  <c r="I25" i="17"/>
  <c r="I12" i="5"/>
  <c r="I11" i="5"/>
  <c r="I9" i="17"/>
  <c r="I15" i="12" s="1"/>
  <c r="H9" i="26"/>
  <c r="I26" i="17"/>
  <c r="K28" i="17"/>
  <c r="O13" i="5"/>
  <c r="O27" i="17"/>
  <c r="L16" i="17"/>
  <c r="O9" i="17"/>
  <c r="O15" i="12" s="1"/>
  <c r="N9" i="26"/>
  <c r="O11" i="5"/>
  <c r="O26" i="17"/>
  <c r="N37" i="17"/>
  <c r="N39" i="17"/>
  <c r="N40" i="17" s="1"/>
  <c r="M10" i="5"/>
  <c r="I10" i="5"/>
  <c r="K39" i="17"/>
  <c r="K40" i="17" s="1"/>
  <c r="K37" i="17"/>
  <c r="M12" i="5"/>
  <c r="M25" i="17"/>
  <c r="J12" i="5"/>
  <c r="J25" i="17"/>
  <c r="M9" i="26"/>
  <c r="N9" i="17"/>
  <c r="N15" i="12" s="1"/>
  <c r="N26" i="17"/>
  <c r="N11" i="5"/>
  <c r="J27" i="17"/>
  <c r="J13" i="5"/>
  <c r="J10" i="5"/>
  <c r="K9" i="17"/>
  <c r="K15" i="12" s="1"/>
  <c r="J9" i="26"/>
  <c r="K26" i="17"/>
  <c r="K11" i="5"/>
  <c r="L9" i="26"/>
  <c r="M9" i="17"/>
  <c r="M15" i="12" s="1"/>
  <c r="M11" i="5"/>
  <c r="M26" i="17"/>
  <c r="N10" i="5"/>
  <c r="L10" i="5"/>
  <c r="K10" i="5"/>
  <c r="K13" i="5"/>
  <c r="K27" i="17"/>
  <c r="N12" i="5"/>
  <c r="N25" i="17"/>
  <c r="J39" i="17"/>
  <c r="J40" i="17" s="1"/>
  <c r="J37" i="17"/>
  <c r="L39" i="17"/>
  <c r="L40" i="17" s="1"/>
  <c r="L37" i="17"/>
  <c r="O10" i="5"/>
  <c r="M39" i="17"/>
  <c r="M40" i="17" s="1"/>
  <c r="M37" i="17"/>
  <c r="L13" i="5"/>
  <c r="L27" i="17"/>
  <c r="L12" i="5"/>
  <c r="L25" i="17"/>
  <c r="L9" i="17"/>
  <c r="L15" i="12" s="1"/>
  <c r="L11" i="5"/>
  <c r="L26" i="17"/>
  <c r="K9" i="26"/>
  <c r="K25" i="17"/>
  <c r="K12" i="5"/>
  <c r="N13" i="5"/>
  <c r="N27" i="17"/>
  <c r="M13" i="5"/>
  <c r="M27" i="17"/>
  <c r="J9" i="17"/>
  <c r="J15" i="12" s="1"/>
  <c r="I9" i="26"/>
  <c r="J26" i="17"/>
  <c r="J11" i="5"/>
  <c r="N17" i="15" l="1"/>
  <c r="N14" i="15"/>
  <c r="O5" i="15"/>
  <c r="N32" i="15"/>
  <c r="N36" i="15"/>
  <c r="N56" i="5"/>
  <c r="N57" i="5" s="1"/>
  <c r="N59" i="5" s="1"/>
  <c r="N30" i="15"/>
  <c r="N29" i="15"/>
  <c r="N31" i="15"/>
  <c r="N19" i="14"/>
  <c r="N7" i="6"/>
  <c r="M46" i="14"/>
  <c r="M42" i="14"/>
  <c r="M47" i="14"/>
  <c r="M14" i="17"/>
  <c r="M13" i="17"/>
  <c r="M42" i="17"/>
  <c r="M43" i="17" s="1"/>
  <c r="M19" i="17"/>
  <c r="M30" i="17" s="1"/>
  <c r="M14" i="5"/>
  <c r="M16" i="5" s="1"/>
  <c r="M28" i="17"/>
  <c r="M16" i="17"/>
  <c r="J28" i="17"/>
  <c r="J14" i="17"/>
  <c r="J13" i="17"/>
  <c r="J14" i="5"/>
  <c r="J16" i="5" s="1"/>
  <c r="J42" i="17"/>
  <c r="J43" i="17" s="1"/>
  <c r="J15" i="17"/>
  <c r="J16" i="17"/>
  <c r="K15" i="17"/>
  <c r="K19" i="17"/>
  <c r="K30" i="17" s="1"/>
  <c r="K42" i="17"/>
  <c r="K43" i="17" s="1"/>
  <c r="K14" i="17"/>
  <c r="K14" i="5"/>
  <c r="K16" i="5" s="1"/>
  <c r="L42" i="17"/>
  <c r="L43" i="17" s="1"/>
  <c r="L28" i="17"/>
  <c r="L13" i="17"/>
  <c r="L14" i="17"/>
  <c r="L19" i="17"/>
  <c r="L30" i="17" s="1"/>
  <c r="K16" i="17"/>
  <c r="I19" i="17"/>
  <c r="I13" i="17"/>
  <c r="I14" i="17"/>
  <c r="I16" i="17"/>
  <c r="I15" i="17"/>
  <c r="I28" i="17"/>
  <c r="I42" i="17"/>
  <c r="I43" i="17" s="1"/>
  <c r="I14" i="5"/>
  <c r="I16" i="5" s="1"/>
  <c r="L14" i="5"/>
  <c r="L16" i="5" s="1"/>
  <c r="L15" i="17"/>
  <c r="K13" i="17"/>
  <c r="J30" i="17"/>
  <c r="J20" i="17"/>
  <c r="N58" i="5" l="1"/>
  <c r="M48" i="14"/>
  <c r="O6" i="15"/>
  <c r="O8" i="15"/>
  <c r="N22" i="14" s="1"/>
  <c r="N35" i="14" s="1"/>
  <c r="N37" i="14" s="1"/>
  <c r="O10" i="15"/>
  <c r="N15" i="15"/>
  <c r="N23" i="6"/>
  <c r="N25" i="6" s="1"/>
  <c r="N27" i="6"/>
  <c r="N30" i="6" s="1"/>
  <c r="N18" i="15"/>
  <c r="M17" i="17"/>
  <c r="L17" i="5"/>
  <c r="L34" i="5"/>
  <c r="L39" i="5" s="1"/>
  <c r="I21" i="5"/>
  <c r="I34" i="5"/>
  <c r="I39" i="5" s="1"/>
  <c r="M17" i="5"/>
  <c r="M34" i="5"/>
  <c r="M39" i="5" s="1"/>
  <c r="K34" i="5"/>
  <c r="K39" i="5" s="1"/>
  <c r="J17" i="5"/>
  <c r="J34" i="5"/>
  <c r="J39" i="5" s="1"/>
  <c r="M20" i="17"/>
  <c r="M31" i="17" s="1"/>
  <c r="K20" i="17"/>
  <c r="K31" i="17" s="1"/>
  <c r="J17" i="17"/>
  <c r="M21" i="5"/>
  <c r="I17" i="5"/>
  <c r="L17" i="17"/>
  <c r="J21" i="5"/>
  <c r="K17" i="5"/>
  <c r="L21" i="5"/>
  <c r="K21" i="5"/>
  <c r="L20" i="17"/>
  <c r="L31" i="17" s="1"/>
  <c r="K17" i="17"/>
  <c r="I17" i="17"/>
  <c r="I30" i="17"/>
  <c r="I20" i="17"/>
  <c r="J45" i="17" s="1"/>
  <c r="J31" i="17"/>
  <c r="O19" i="5" l="1"/>
  <c r="O7" i="7" s="1"/>
  <c r="N45" i="14"/>
  <c r="N49" i="14"/>
  <c r="O21" i="15"/>
  <c r="O36" i="5" s="1"/>
  <c r="N28" i="17"/>
  <c r="N42" i="17"/>
  <c r="N43" i="17" s="1"/>
  <c r="N15" i="17"/>
  <c r="N14" i="17"/>
  <c r="N16" i="17"/>
  <c r="N13" i="17"/>
  <c r="N14" i="5"/>
  <c r="N16" i="5" s="1"/>
  <c r="N19" i="17"/>
  <c r="N24" i="14"/>
  <c r="L22" i="5"/>
  <c r="L29" i="12"/>
  <c r="I22" i="5"/>
  <c r="I29" i="12"/>
  <c r="M22" i="5"/>
  <c r="M29" i="12"/>
  <c r="J22" i="5"/>
  <c r="J29" i="12"/>
  <c r="K22" i="5"/>
  <c r="K29" i="12"/>
  <c r="I40" i="5"/>
  <c r="E7" i="8"/>
  <c r="K40" i="5"/>
  <c r="G7" i="8"/>
  <c r="M40" i="5"/>
  <c r="I7" i="8"/>
  <c r="L40" i="5"/>
  <c r="H7" i="8"/>
  <c r="J40" i="5"/>
  <c r="F7" i="8"/>
  <c r="K45" i="17"/>
  <c r="M45" i="17"/>
  <c r="L45" i="17"/>
  <c r="I45" i="17"/>
  <c r="I31" i="17"/>
  <c r="H25" i="15"/>
  <c r="H35" i="15" s="1"/>
  <c r="N30" i="17" l="1"/>
  <c r="N20" i="17"/>
  <c r="N34" i="5"/>
  <c r="N39" i="5" s="1"/>
  <c r="N17" i="5"/>
  <c r="N21" i="5"/>
  <c r="O22" i="15"/>
  <c r="O35" i="5" s="1"/>
  <c r="O37" i="5" s="1"/>
  <c r="O38" i="5" s="1"/>
  <c r="O23" i="15"/>
  <c r="O12" i="15"/>
  <c r="N17" i="17"/>
  <c r="O7" i="6"/>
  <c r="N46" i="14"/>
  <c r="N42" i="14"/>
  <c r="N47" i="14"/>
  <c r="G8" i="8"/>
  <c r="G12" i="8" s="1"/>
  <c r="G16" i="8" s="1"/>
  <c r="B42" i="8"/>
  <c r="F8" i="8"/>
  <c r="F12" i="8" s="1"/>
  <c r="F16" i="8" s="1"/>
  <c r="H8" i="8"/>
  <c r="H12" i="8" s="1"/>
  <c r="H16" i="8" s="1"/>
  <c r="I8" i="8"/>
  <c r="I12" i="8" s="1"/>
  <c r="I16" i="8" s="1"/>
  <c r="E8" i="8"/>
  <c r="E12" i="8" s="1"/>
  <c r="H25" i="7"/>
  <c r="I25" i="15"/>
  <c r="I24" i="5" s="1"/>
  <c r="I8" i="7" s="1"/>
  <c r="K25" i="15"/>
  <c r="H24" i="5"/>
  <c r="J25" i="15"/>
  <c r="N22" i="5" l="1"/>
  <c r="N29" i="12"/>
  <c r="N40" i="5"/>
  <c r="J7" i="8"/>
  <c r="J8" i="8" s="1"/>
  <c r="J12" i="8" s="1"/>
  <c r="J16" i="8" s="1"/>
  <c r="N45" i="17"/>
  <c r="N31" i="17"/>
  <c r="O31" i="15"/>
  <c r="O29" i="15"/>
  <c r="O30" i="15"/>
  <c r="O56" i="5"/>
  <c r="O57" i="5" s="1"/>
  <c r="O59" i="5" s="1"/>
  <c r="O32" i="15"/>
  <c r="O14" i="15"/>
  <c r="O17" i="15"/>
  <c r="O36" i="15"/>
  <c r="I25" i="7"/>
  <c r="I35" i="15"/>
  <c r="E16" i="8"/>
  <c r="D35" i="9" s="1"/>
  <c r="D50" i="9" s="1"/>
  <c r="H26" i="5"/>
  <c r="H6" i="7" s="1"/>
  <c r="H11" i="7" s="1"/>
  <c r="H8" i="7"/>
  <c r="H28" i="7"/>
  <c r="J24" i="5"/>
  <c r="J8" i="7" s="1"/>
  <c r="J35" i="15"/>
  <c r="J25" i="7"/>
  <c r="K24" i="5"/>
  <c r="K8" i="7" s="1"/>
  <c r="K35" i="15"/>
  <c r="K25" i="7"/>
  <c r="L25" i="15"/>
  <c r="O18" i="15" l="1"/>
  <c r="O27" i="6"/>
  <c r="O30" i="6" s="1"/>
  <c r="O23" i="6"/>
  <c r="O25" i="6" s="1"/>
  <c r="O15" i="15"/>
  <c r="O58" i="5"/>
  <c r="N48" i="14"/>
  <c r="I28" i="7"/>
  <c r="H12" i="7"/>
  <c r="H13" i="7"/>
  <c r="M25" i="15"/>
  <c r="J28" i="7"/>
  <c r="L24" i="5"/>
  <c r="L8" i="7" s="1"/>
  <c r="L35" i="15"/>
  <c r="L25" i="7"/>
  <c r="K28" i="7"/>
  <c r="O15" i="17" l="1"/>
  <c r="O16" i="17"/>
  <c r="O14" i="17"/>
  <c r="O28" i="17"/>
  <c r="O14" i="5"/>
  <c r="O16" i="5" s="1"/>
  <c r="O19" i="17"/>
  <c r="O13" i="17"/>
  <c r="O42" i="17"/>
  <c r="O43" i="17" s="1"/>
  <c r="H16" i="7"/>
  <c r="H30" i="7" s="1"/>
  <c r="H29" i="5"/>
  <c r="H30" i="5" s="1"/>
  <c r="L28" i="7"/>
  <c r="O25" i="15"/>
  <c r="N25" i="15"/>
  <c r="M35" i="15"/>
  <c r="M25" i="7"/>
  <c r="M24" i="5"/>
  <c r="M8" i="7" s="1"/>
  <c r="O17" i="17" l="1"/>
  <c r="O20" i="17"/>
  <c r="O30" i="17"/>
  <c r="O21" i="5"/>
  <c r="O34" i="5"/>
  <c r="O39" i="5" s="1"/>
  <c r="O17" i="5"/>
  <c r="H21" i="6"/>
  <c r="H31" i="6" s="1"/>
  <c r="H12" i="12"/>
  <c r="H31" i="5"/>
  <c r="H35" i="7"/>
  <c r="M28" i="7"/>
  <c r="H15" i="6"/>
  <c r="H32" i="7"/>
  <c r="H26" i="12" s="1"/>
  <c r="B52" i="29" s="1"/>
  <c r="N35" i="15"/>
  <c r="N25" i="7"/>
  <c r="N24" i="5"/>
  <c r="N8" i="7" s="1"/>
  <c r="O35" i="15"/>
  <c r="O24" i="5"/>
  <c r="O8" i="7" s="1"/>
  <c r="O25" i="7"/>
  <c r="O31" i="17" l="1"/>
  <c r="O45" i="17"/>
  <c r="B24" i="28"/>
  <c r="K7" i="8"/>
  <c r="K8" i="8" s="1"/>
  <c r="K12" i="8" s="1"/>
  <c r="O40" i="5"/>
  <c r="O29" i="12"/>
  <c r="B45" i="8" s="1"/>
  <c r="B50" i="8" s="1"/>
  <c r="B51" i="8" s="1"/>
  <c r="O22" i="5"/>
  <c r="H14" i="12"/>
  <c r="H13" i="12"/>
  <c r="H30" i="12"/>
  <c r="H33" i="15"/>
  <c r="H34" i="15" s="1"/>
  <c r="I12" i="25"/>
  <c r="I13" i="25" s="1"/>
  <c r="N28" i="7"/>
  <c r="O28" i="7"/>
  <c r="I31" i="7"/>
  <c r="H34" i="7"/>
  <c r="H6" i="25"/>
  <c r="H7" i="25" s="1"/>
  <c r="H19" i="25" s="1"/>
  <c r="H38" i="6"/>
  <c r="H16" i="6"/>
  <c r="H37" i="6" s="1"/>
  <c r="B52" i="8" l="1"/>
  <c r="B55" i="8"/>
  <c r="B28" i="28" s="1"/>
  <c r="B15" i="28"/>
  <c r="B49" i="28"/>
  <c r="C49" i="28" s="1"/>
  <c r="D49" i="28" s="1"/>
  <c r="E49" i="28" s="1"/>
  <c r="B71" i="28"/>
  <c r="C71" i="28" s="1"/>
  <c r="D71" i="28" s="1"/>
  <c r="E71" i="28" s="1"/>
  <c r="B55" i="28"/>
  <c r="C55" i="28" s="1"/>
  <c r="D55" i="28" s="1"/>
  <c r="E55" i="28" s="1"/>
  <c r="B59" i="28"/>
  <c r="C59" i="28" s="1"/>
  <c r="D59" i="28" s="1"/>
  <c r="E59" i="28" s="1"/>
  <c r="B57" i="28"/>
  <c r="C57" i="28" s="1"/>
  <c r="D57" i="28" s="1"/>
  <c r="E57" i="28" s="1"/>
  <c r="D9" i="10"/>
  <c r="E8" i="10"/>
  <c r="C6" i="10"/>
  <c r="H8" i="10"/>
  <c r="G9" i="10"/>
  <c r="H12" i="10"/>
  <c r="H10" i="10"/>
  <c r="B40" i="28"/>
  <c r="C40" i="28" s="1"/>
  <c r="D40" i="28" s="1"/>
  <c r="E40" i="28" s="1"/>
  <c r="B44" i="28"/>
  <c r="C44" i="28" s="1"/>
  <c r="D44" i="28" s="1"/>
  <c r="E44" i="28" s="1"/>
  <c r="B38" i="28"/>
  <c r="C38" i="28" s="1"/>
  <c r="D38" i="28" s="1"/>
  <c r="E38" i="28" s="1"/>
  <c r="B64" i="28"/>
  <c r="C64" i="28" s="1"/>
  <c r="D64" i="28" s="1"/>
  <c r="E64" i="28" s="1"/>
  <c r="B65" i="28"/>
  <c r="C65" i="28" s="1"/>
  <c r="D65" i="28" s="1"/>
  <c r="E65" i="28" s="1"/>
  <c r="K16" i="8"/>
  <c r="B24" i="8" s="1"/>
  <c r="B13" i="29" s="1"/>
  <c r="F8" i="10"/>
  <c r="G7" i="10"/>
  <c r="E6" i="10"/>
  <c r="F11" i="10"/>
  <c r="H11" i="10"/>
  <c r="D8" i="10"/>
  <c r="E9" i="10"/>
  <c r="D10" i="10"/>
  <c r="B47" i="28"/>
  <c r="C47" i="28" s="1"/>
  <c r="D47" i="28" s="1"/>
  <c r="E47" i="28" s="1"/>
  <c r="H7" i="10"/>
  <c r="G10" i="10"/>
  <c r="B74" i="28"/>
  <c r="C74" i="28" s="1"/>
  <c r="D74" i="28" s="1"/>
  <c r="E74" i="28" s="1"/>
  <c r="B8" i="10"/>
  <c r="F7" i="10"/>
  <c r="B43" i="28"/>
  <c r="C43" i="28" s="1"/>
  <c r="D43" i="28" s="1"/>
  <c r="E43" i="28" s="1"/>
  <c r="C10" i="10"/>
  <c r="B70" i="28"/>
  <c r="C70" i="28" s="1"/>
  <c r="D70" i="28" s="1"/>
  <c r="E70" i="28" s="1"/>
  <c r="B56" i="28"/>
  <c r="C56" i="28" s="1"/>
  <c r="D56" i="28" s="1"/>
  <c r="E56" i="28" s="1"/>
  <c r="B69" i="28"/>
  <c r="C69" i="28" s="1"/>
  <c r="D69" i="28" s="1"/>
  <c r="E69" i="28" s="1"/>
  <c r="B53" i="28"/>
  <c r="C53" i="28" s="1"/>
  <c r="D53" i="28" s="1"/>
  <c r="E53" i="28" s="1"/>
  <c r="B19" i="8"/>
  <c r="B20" i="8" s="1"/>
  <c r="D12" i="10"/>
  <c r="H6" i="10"/>
  <c r="B7" i="10"/>
  <c r="H9" i="10"/>
  <c r="F9" i="10"/>
  <c r="G11" i="10"/>
  <c r="C12" i="10"/>
  <c r="B63" i="28"/>
  <c r="C63" i="28" s="1"/>
  <c r="D63" i="28" s="1"/>
  <c r="E63" i="28" s="1"/>
  <c r="B42" i="28"/>
  <c r="C42" i="28" s="1"/>
  <c r="D42" i="28" s="1"/>
  <c r="E42" i="28" s="1"/>
  <c r="E12" i="10"/>
  <c r="B48" i="28"/>
  <c r="C48" i="28" s="1"/>
  <c r="D48" i="28" s="1"/>
  <c r="E48" i="28" s="1"/>
  <c r="B45" i="28"/>
  <c r="C45" i="28" s="1"/>
  <c r="D45" i="28" s="1"/>
  <c r="E45" i="28" s="1"/>
  <c r="G8" i="10"/>
  <c r="B61" i="28"/>
  <c r="C61" i="28" s="1"/>
  <c r="D61" i="28" s="1"/>
  <c r="E61" i="28" s="1"/>
  <c r="G6" i="10"/>
  <c r="C11" i="10"/>
  <c r="B54" i="28"/>
  <c r="C54" i="28" s="1"/>
  <c r="D54" i="28" s="1"/>
  <c r="E54" i="28" s="1"/>
  <c r="B46" i="28"/>
  <c r="C46" i="28" s="1"/>
  <c r="D46" i="28" s="1"/>
  <c r="E46" i="28" s="1"/>
  <c r="B52" i="28"/>
  <c r="C52" i="28" s="1"/>
  <c r="D52" i="28" s="1"/>
  <c r="E52" i="28" s="1"/>
  <c r="B73" i="28"/>
  <c r="C73" i="28" s="1"/>
  <c r="D73" i="28" s="1"/>
  <c r="E73" i="28" s="1"/>
  <c r="B9" i="10"/>
  <c r="B12" i="10"/>
  <c r="D6" i="10"/>
  <c r="C9" i="10"/>
  <c r="F10" i="10"/>
  <c r="C8" i="10"/>
  <c r="C7" i="10"/>
  <c r="B72" i="28"/>
  <c r="C72" i="28" s="1"/>
  <c r="D72" i="28" s="1"/>
  <c r="E72" i="28" s="1"/>
  <c r="B58" i="28"/>
  <c r="C58" i="28" s="1"/>
  <c r="D58" i="28" s="1"/>
  <c r="E58" i="28" s="1"/>
  <c r="F12" i="10"/>
  <c r="B39" i="28"/>
  <c r="C39" i="28" s="1"/>
  <c r="D39" i="28" s="1"/>
  <c r="E39" i="28" s="1"/>
  <c r="B10" i="10"/>
  <c r="B41" i="28"/>
  <c r="C41" i="28" s="1"/>
  <c r="D41" i="28" s="1"/>
  <c r="E41" i="28" s="1"/>
  <c r="G12" i="10"/>
  <c r="B62" i="28"/>
  <c r="C62" i="28" s="1"/>
  <c r="D62" i="28" s="1"/>
  <c r="E62" i="28" s="1"/>
  <c r="B68" i="28"/>
  <c r="C68" i="28" s="1"/>
  <c r="D68" i="28" s="1"/>
  <c r="E68" i="28" s="1"/>
  <c r="B60" i="28"/>
  <c r="C60" i="28" s="1"/>
  <c r="D60" i="28" s="1"/>
  <c r="E60" i="28" s="1"/>
  <c r="B67" i="28"/>
  <c r="C67" i="28" s="1"/>
  <c r="D67" i="28" s="1"/>
  <c r="E67" i="28" s="1"/>
  <c r="B51" i="28"/>
  <c r="C51" i="28" s="1"/>
  <c r="D51" i="28" s="1"/>
  <c r="E51" i="28" s="1"/>
  <c r="E7" i="10"/>
  <c r="B11" i="10"/>
  <c r="B6" i="10"/>
  <c r="E10" i="10"/>
  <c r="E11" i="10"/>
  <c r="B66" i="28"/>
  <c r="C66" i="28" s="1"/>
  <c r="D66" i="28" s="1"/>
  <c r="E66" i="28" s="1"/>
  <c r="D7" i="10"/>
  <c r="D11" i="10"/>
  <c r="B50" i="28"/>
  <c r="C50" i="28" s="1"/>
  <c r="D50" i="28" s="1"/>
  <c r="E50" i="28" s="1"/>
  <c r="F6" i="10"/>
  <c r="H31" i="12"/>
  <c r="H32" i="12" s="1"/>
  <c r="H34" i="12"/>
  <c r="I14" i="25"/>
  <c r="I23" i="5"/>
  <c r="I17" i="25"/>
  <c r="I18" i="25" s="1"/>
  <c r="I5" i="25"/>
  <c r="H10" i="6"/>
  <c r="H17" i="6" s="1"/>
  <c r="H33" i="6" s="1"/>
  <c r="H34" i="6" s="1"/>
  <c r="D69" i="9" l="1"/>
  <c r="B11" i="28"/>
  <c r="B12" i="28" s="1"/>
  <c r="B14" i="28" s="1"/>
  <c r="B54" i="8"/>
  <c r="B21" i="8"/>
  <c r="B25" i="8" s="1"/>
  <c r="B36" i="28"/>
  <c r="B33" i="28" s="1"/>
  <c r="H33" i="12"/>
  <c r="B50" i="29"/>
  <c r="I26" i="5"/>
  <c r="I9" i="7"/>
  <c r="I20" i="7"/>
  <c r="I21" i="7" s="1"/>
  <c r="I22" i="25"/>
  <c r="I6" i="7" l="1"/>
  <c r="I11" i="7" s="1"/>
  <c r="I4" i="33"/>
  <c r="B35" i="28"/>
  <c r="B6" i="30"/>
  <c r="D6" i="30" s="1"/>
  <c r="B34" i="29"/>
  <c r="B26" i="8"/>
  <c r="D22" i="9" s="1"/>
  <c r="B27" i="28"/>
  <c r="C7" i="30"/>
  <c r="B25" i="28"/>
  <c r="B17" i="28"/>
  <c r="D71" i="9"/>
  <c r="D70" i="9"/>
  <c r="B51" i="29"/>
  <c r="I12" i="7"/>
  <c r="I23" i="25"/>
  <c r="I12" i="33" l="1"/>
  <c r="I6" i="33"/>
  <c r="I7" i="33"/>
  <c r="I8" i="33" s="1"/>
  <c r="J5" i="33" s="1"/>
  <c r="B37" i="8"/>
  <c r="B17" i="32" s="1"/>
  <c r="B26" i="28"/>
  <c r="B21" i="31"/>
  <c r="B21" i="28"/>
  <c r="B19" i="32"/>
  <c r="C19" i="32"/>
  <c r="B5" i="30"/>
  <c r="D5" i="30" s="1"/>
  <c r="B33" i="29"/>
  <c r="D34" i="9"/>
  <c r="B39" i="8"/>
  <c r="B29" i="8"/>
  <c r="B32" i="8" s="1"/>
  <c r="B38" i="8"/>
  <c r="I9" i="33" l="1"/>
  <c r="I11" i="33" s="1"/>
  <c r="I27" i="5" s="1"/>
  <c r="D8" i="9"/>
  <c r="D6" i="9"/>
  <c r="D7" i="9"/>
  <c r="D4" i="9"/>
  <c r="D5" i="9"/>
  <c r="H17" i="27"/>
  <c r="C18" i="2"/>
  <c r="B12" i="29"/>
  <c r="B25" i="31" s="1"/>
  <c r="B34" i="8"/>
  <c r="C17" i="22" s="1"/>
  <c r="C13" i="22"/>
  <c r="D49" i="9"/>
  <c r="D36" i="9"/>
  <c r="D38" i="9" s="1"/>
  <c r="B7" i="30"/>
  <c r="D7" i="30" s="1"/>
  <c r="B35" i="29"/>
  <c r="I13" i="7" l="1"/>
  <c r="I16" i="7" s="1"/>
  <c r="I29" i="5"/>
  <c r="D29" i="9"/>
  <c r="D9" i="9"/>
  <c r="E8" i="9" s="1"/>
  <c r="D44" i="9"/>
  <c r="H6" i="27"/>
  <c r="I17" i="27"/>
  <c r="I31" i="5" l="1"/>
  <c r="I21" i="6"/>
  <c r="I30" i="5"/>
  <c r="I12" i="12"/>
  <c r="I30" i="7"/>
  <c r="I35" i="7"/>
  <c r="E6" i="9"/>
  <c r="D63" i="9"/>
  <c r="D65" i="9" s="1"/>
  <c r="E5" i="9"/>
  <c r="D13" i="9"/>
  <c r="K32" i="10"/>
  <c r="B56" i="8"/>
  <c r="E9" i="9"/>
  <c r="D39" i="9"/>
  <c r="D72" i="9"/>
  <c r="E7" i="9"/>
  <c r="E4" i="9"/>
  <c r="H10" i="27"/>
  <c r="H9" i="27"/>
  <c r="I6" i="27"/>
  <c r="J17" i="27"/>
  <c r="D62" i="9"/>
  <c r="I10" i="6"/>
  <c r="I15" i="6" l="1"/>
  <c r="I32" i="7"/>
  <c r="I14" i="12"/>
  <c r="I30" i="12"/>
  <c r="I31" i="6"/>
  <c r="I13" i="12"/>
  <c r="C31" i="11"/>
  <c r="C32" i="11" s="1"/>
  <c r="C34" i="11" s="1"/>
  <c r="B48" i="11"/>
  <c r="D45" i="9"/>
  <c r="D46" i="9" s="1"/>
  <c r="D51" i="9" s="1"/>
  <c r="D52" i="9" s="1"/>
  <c r="D53" i="9" s="1"/>
  <c r="D40" i="9"/>
  <c r="D15" i="9"/>
  <c r="D57" i="9"/>
  <c r="D58" i="9" s="1"/>
  <c r="C8" i="30"/>
  <c r="D8" i="30" s="1"/>
  <c r="B29" i="28"/>
  <c r="B17" i="31"/>
  <c r="E41" i="10"/>
  <c r="D41" i="10"/>
  <c r="G41" i="10"/>
  <c r="C41" i="10"/>
  <c r="F41" i="10"/>
  <c r="B41" i="10"/>
  <c r="H41" i="10"/>
  <c r="H21" i="27"/>
  <c r="I5" i="27"/>
  <c r="I9" i="27" s="1"/>
  <c r="H11" i="27"/>
  <c r="K17" i="27"/>
  <c r="J6" i="27"/>
  <c r="I34" i="12" l="1"/>
  <c r="I31" i="12"/>
  <c r="I32" i="12" s="1"/>
  <c r="I33" i="12" s="1"/>
  <c r="I26" i="12"/>
  <c r="J31" i="7"/>
  <c r="J5" i="25" s="1"/>
  <c r="J12" i="25"/>
  <c r="I33" i="15"/>
  <c r="I34" i="15" s="1"/>
  <c r="I6" i="25"/>
  <c r="I7" i="25" s="1"/>
  <c r="I19" i="25" s="1"/>
  <c r="I34" i="7"/>
  <c r="I38" i="6"/>
  <c r="I16" i="6"/>
  <c r="I21" i="27"/>
  <c r="J5" i="27"/>
  <c r="J9" i="27" s="1"/>
  <c r="I11" i="27"/>
  <c r="I10" i="27"/>
  <c r="L17" i="27"/>
  <c r="K6" i="27"/>
  <c r="J13" i="25" l="1"/>
  <c r="J23" i="5"/>
  <c r="J14" i="25"/>
  <c r="J17" i="25"/>
  <c r="J22" i="25"/>
  <c r="I37" i="6"/>
  <c r="I17" i="6"/>
  <c r="I33" i="6" s="1"/>
  <c r="I34" i="6" s="1"/>
  <c r="J10" i="27"/>
  <c r="L6" i="27"/>
  <c r="M17" i="27"/>
  <c r="J21" i="27"/>
  <c r="J11" i="27"/>
  <c r="K5" i="27"/>
  <c r="K9" i="27" s="1"/>
  <c r="J18" i="25" l="1"/>
  <c r="J20" i="7"/>
  <c r="J21" i="7" s="1"/>
  <c r="J23" i="25"/>
  <c r="J26" i="5"/>
  <c r="J9" i="7"/>
  <c r="K10" i="27"/>
  <c r="B21" i="10"/>
  <c r="G23" i="10"/>
  <c r="B35" i="11"/>
  <c r="B17" i="10"/>
  <c r="F18" i="10"/>
  <c r="E22" i="10"/>
  <c r="F19" i="10"/>
  <c r="K21" i="27"/>
  <c r="C18" i="10"/>
  <c r="C19" i="10"/>
  <c r="C17" i="10"/>
  <c r="B20" i="10"/>
  <c r="E21" i="10"/>
  <c r="E18" i="10"/>
  <c r="D19" i="10"/>
  <c r="E23" i="10"/>
  <c r="B23" i="10"/>
  <c r="C22" i="10"/>
  <c r="K11" i="27"/>
  <c r="H20" i="10"/>
  <c r="K35" i="10"/>
  <c r="D22" i="10"/>
  <c r="E17" i="10"/>
  <c r="L5" i="27"/>
  <c r="L9" i="27" s="1"/>
  <c r="D18" i="10"/>
  <c r="D16" i="9"/>
  <c r="H22" i="10"/>
  <c r="E19" i="10"/>
  <c r="G18" i="10"/>
  <c r="C21" i="10"/>
  <c r="D20" i="10"/>
  <c r="H17" i="10"/>
  <c r="G22" i="10"/>
  <c r="G21" i="10"/>
  <c r="C35" i="11"/>
  <c r="C23" i="10"/>
  <c r="D17" i="10"/>
  <c r="B18" i="10"/>
  <c r="B22" i="10"/>
  <c r="D35" i="11"/>
  <c r="G20" i="10"/>
  <c r="B19" i="10"/>
  <c r="H23" i="10"/>
  <c r="F17" i="10"/>
  <c r="F23" i="10"/>
  <c r="F22" i="10"/>
  <c r="F20" i="10"/>
  <c r="D21" i="10"/>
  <c r="B24" i="29"/>
  <c r="F21" i="10"/>
  <c r="H19" i="10"/>
  <c r="H18" i="10"/>
  <c r="G19" i="10"/>
  <c r="C20" i="10"/>
  <c r="E20" i="10"/>
  <c r="D23" i="10"/>
  <c r="G17" i="10"/>
  <c r="H21" i="10"/>
  <c r="M6" i="27"/>
  <c r="N17" i="27"/>
  <c r="J6" i="7" l="1"/>
  <c r="J11" i="7" s="1"/>
  <c r="J4" i="33"/>
  <c r="C57" i="10"/>
  <c r="F55" i="10"/>
  <c r="B56" i="10"/>
  <c r="E57" i="10"/>
  <c r="D56" i="10"/>
  <c r="B59" i="10"/>
  <c r="B53" i="10"/>
  <c r="C56" i="10"/>
  <c r="B58" i="10"/>
  <c r="C54" i="10"/>
  <c r="D59" i="10"/>
  <c r="E56" i="10"/>
  <c r="E54" i="10"/>
  <c r="C53" i="10"/>
  <c r="F56" i="10"/>
  <c r="C55" i="10"/>
  <c r="C59" i="10"/>
  <c r="F57" i="10"/>
  <c r="F59" i="10"/>
  <c r="D58" i="10"/>
  <c r="E53" i="10"/>
  <c r="C58" i="10"/>
  <c r="E59" i="10"/>
  <c r="D53" i="10"/>
  <c r="E58" i="10"/>
  <c r="F53" i="10"/>
  <c r="F54" i="10"/>
  <c r="E55" i="10"/>
  <c r="D55" i="10"/>
  <c r="D54" i="10"/>
  <c r="B57" i="10"/>
  <c r="B55" i="10"/>
  <c r="B54" i="10"/>
  <c r="D57" i="10"/>
  <c r="F58" i="10"/>
  <c r="L11" i="27"/>
  <c r="L21" i="27"/>
  <c r="M5" i="27"/>
  <c r="M9" i="27" s="1"/>
  <c r="E15" i="22"/>
  <c r="B17" i="29"/>
  <c r="D36" i="11"/>
  <c r="B43" i="11"/>
  <c r="B8" i="29" s="1"/>
  <c r="N6" i="27"/>
  <c r="O17" i="27"/>
  <c r="O6" i="27" s="1"/>
  <c r="D30" i="10"/>
  <c r="G30" i="10"/>
  <c r="G44" i="10"/>
  <c r="C44" i="10"/>
  <c r="C43" i="10"/>
  <c r="G42" i="10"/>
  <c r="F43" i="10"/>
  <c r="E34" i="10"/>
  <c r="C31" i="10"/>
  <c r="E46" i="10"/>
  <c r="H33" i="10"/>
  <c r="F32" i="10"/>
  <c r="E43" i="10"/>
  <c r="D36" i="10"/>
  <c r="E47" i="10"/>
  <c r="H44" i="10"/>
  <c r="G33" i="10"/>
  <c r="G47" i="10"/>
  <c r="G46" i="10"/>
  <c r="E45" i="10"/>
  <c r="G34" i="10"/>
  <c r="D48" i="10"/>
  <c r="H30" i="10"/>
  <c r="G35" i="10"/>
  <c r="B43" i="10"/>
  <c r="B36" i="10"/>
  <c r="C35" i="10"/>
  <c r="H43" i="10"/>
  <c r="C34" i="10"/>
  <c r="H32" i="10"/>
  <c r="F30" i="10"/>
  <c r="D47" i="10"/>
  <c r="G36" i="10"/>
  <c r="H48" i="10"/>
  <c r="F31" i="10"/>
  <c r="G43" i="10"/>
  <c r="H47" i="10"/>
  <c r="F47" i="10"/>
  <c r="B30" i="10"/>
  <c r="D46" i="10"/>
  <c r="G32" i="10"/>
  <c r="C47" i="10"/>
  <c r="H45" i="10"/>
  <c r="H34" i="10"/>
  <c r="E31" i="10"/>
  <c r="B48" i="10"/>
  <c r="D43" i="10"/>
  <c r="B46" i="10"/>
  <c r="B32" i="10"/>
  <c r="D44" i="10"/>
  <c r="E42" i="10"/>
  <c r="F36" i="10"/>
  <c r="C36" i="10"/>
  <c r="F42" i="10"/>
  <c r="C42" i="10"/>
  <c r="C30" i="10"/>
  <c r="E33" i="10"/>
  <c r="G31" i="10"/>
  <c r="F34" i="10"/>
  <c r="C45" i="10"/>
  <c r="H36" i="10"/>
  <c r="F35" i="10"/>
  <c r="E36" i="10"/>
  <c r="B31" i="10"/>
  <c r="G48" i="10"/>
  <c r="G45" i="10"/>
  <c r="E48" i="10"/>
  <c r="D32" i="10"/>
  <c r="D33" i="10"/>
  <c r="D42" i="10"/>
  <c r="E30" i="10"/>
  <c r="B33" i="10"/>
  <c r="C46" i="10"/>
  <c r="D35" i="10"/>
  <c r="E35" i="10"/>
  <c r="E44" i="10"/>
  <c r="F46" i="10"/>
  <c r="F33" i="10"/>
  <c r="F44" i="10"/>
  <c r="F45" i="10"/>
  <c r="D31" i="10"/>
  <c r="B35" i="10"/>
  <c r="B34" i="10"/>
  <c r="H46" i="10"/>
  <c r="B42" i="10"/>
  <c r="B45" i="10"/>
  <c r="F48" i="10"/>
  <c r="D45" i="10"/>
  <c r="H35" i="10"/>
  <c r="C33" i="10"/>
  <c r="E32" i="10"/>
  <c r="B47" i="10"/>
  <c r="C48" i="10"/>
  <c r="C32" i="10"/>
  <c r="H42" i="10"/>
  <c r="B44" i="10"/>
  <c r="D34" i="10"/>
  <c r="H31" i="10"/>
  <c r="L10" i="27"/>
  <c r="B16" i="29"/>
  <c r="C36" i="11"/>
  <c r="D15" i="22"/>
  <c r="C15" i="22"/>
  <c r="B36" i="11"/>
  <c r="B15" i="29"/>
  <c r="B41" i="11"/>
  <c r="D17" i="9"/>
  <c r="D73" i="9"/>
  <c r="D74" i="9" s="1"/>
  <c r="D25" i="9" l="1"/>
  <c r="D26" i="9"/>
  <c r="J12" i="33"/>
  <c r="J6" i="33"/>
  <c r="J7" i="33"/>
  <c r="J8" i="33" s="1"/>
  <c r="K5" i="33" s="1"/>
  <c r="J12" i="7"/>
  <c r="B20" i="29"/>
  <c r="B41" i="29"/>
  <c r="B42" i="29" s="1"/>
  <c r="B24" i="31"/>
  <c r="C18" i="22"/>
  <c r="B5" i="29"/>
  <c r="B42" i="11"/>
  <c r="B18" i="29"/>
  <c r="C20" i="2"/>
  <c r="C22" i="2" s="1"/>
  <c r="M10" i="27"/>
  <c r="M21" i="27"/>
  <c r="N5" i="27"/>
  <c r="N9" i="27" s="1"/>
  <c r="M11" i="27"/>
  <c r="B14" i="29"/>
  <c r="B14" i="22"/>
  <c r="B18" i="32"/>
  <c r="C19" i="2"/>
  <c r="D19" i="9"/>
  <c r="C14" i="22" s="1"/>
  <c r="J10" i="6"/>
  <c r="J9" i="33" l="1"/>
  <c r="J11" i="33" s="1"/>
  <c r="J27" i="5" s="1"/>
  <c r="N11" i="27"/>
  <c r="N21" i="27"/>
  <c r="O5" i="27"/>
  <c r="C9" i="30"/>
  <c r="D9" i="30" s="1"/>
  <c r="B7" i="29"/>
  <c r="B6" i="29"/>
  <c r="B9" i="29" s="1"/>
  <c r="N10" i="27"/>
  <c r="J13" i="7" l="1"/>
  <c r="J16" i="7" s="1"/>
  <c r="J29" i="5"/>
  <c r="B26" i="31"/>
  <c r="B5" i="31"/>
  <c r="C20" i="22"/>
  <c r="C24" i="2"/>
  <c r="O9" i="27"/>
  <c r="O10" i="27"/>
  <c r="J30" i="5" l="1"/>
  <c r="J21" i="6"/>
  <c r="J31" i="5"/>
  <c r="J12" i="12"/>
  <c r="J35" i="7"/>
  <c r="J30" i="7"/>
  <c r="O21" i="27"/>
  <c r="O11" i="27"/>
  <c r="J15" i="6" l="1"/>
  <c r="J32" i="7"/>
  <c r="J13" i="12"/>
  <c r="J30" i="12"/>
  <c r="J14" i="12"/>
  <c r="J31" i="6"/>
  <c r="J34" i="12" l="1"/>
  <c r="J31" i="12"/>
  <c r="J32" i="12" s="1"/>
  <c r="J33" i="12" s="1"/>
  <c r="J26" i="12"/>
  <c r="J33" i="15"/>
  <c r="J34" i="15" s="1"/>
  <c r="J6" i="25"/>
  <c r="J7" i="25" s="1"/>
  <c r="J19" i="25" s="1"/>
  <c r="K31" i="7"/>
  <c r="K5" i="25" s="1"/>
  <c r="J34" i="7"/>
  <c r="K12" i="25"/>
  <c r="J16" i="6"/>
  <c r="J38" i="6"/>
  <c r="K13" i="25" l="1"/>
  <c r="K17" i="25"/>
  <c r="K14" i="25"/>
  <c r="K23" i="5"/>
  <c r="K22" i="25" s="1"/>
  <c r="J37" i="6"/>
  <c r="J17" i="6"/>
  <c r="J33" i="6" s="1"/>
  <c r="J34" i="6" s="1"/>
  <c r="K10" i="6"/>
  <c r="K26" i="5" l="1"/>
  <c r="K9" i="7"/>
  <c r="K18" i="25"/>
  <c r="K20" i="7"/>
  <c r="K21" i="7" s="1"/>
  <c r="K23" i="25"/>
  <c r="K6" i="7" l="1"/>
  <c r="K11" i="7" s="1"/>
  <c r="K4" i="33"/>
  <c r="K6" i="33" l="1"/>
  <c r="K12" i="33"/>
  <c r="K7" i="33"/>
  <c r="K8" i="33" s="1"/>
  <c r="L5" i="33" s="1"/>
  <c r="K12" i="7"/>
  <c r="K9" i="33" l="1"/>
  <c r="K11" i="33" s="1"/>
  <c r="K27" i="5" s="1"/>
  <c r="K13" i="7" l="1"/>
  <c r="K16" i="7" s="1"/>
  <c r="K29" i="5"/>
  <c r="F41" i="12" l="1"/>
  <c r="K12" i="12"/>
  <c r="K31" i="5"/>
  <c r="K30" i="5"/>
  <c r="K21" i="6"/>
  <c r="D9" i="22"/>
  <c r="K13" i="12"/>
  <c r="K30" i="7"/>
  <c r="K35" i="7"/>
  <c r="L10" i="6"/>
  <c r="K15" i="6" l="1"/>
  <c r="K32" i="7"/>
  <c r="K31" i="6"/>
  <c r="K30" i="12"/>
  <c r="K14" i="12"/>
  <c r="K31" i="12" l="1"/>
  <c r="K32" i="12" s="1"/>
  <c r="K34" i="12"/>
  <c r="K34" i="7"/>
  <c r="L31" i="7"/>
  <c r="L12" i="25"/>
  <c r="K33" i="15"/>
  <c r="K34" i="15" s="1"/>
  <c r="D11" i="22"/>
  <c r="K6" i="25"/>
  <c r="K7" i="25" s="1"/>
  <c r="K19" i="25" s="1"/>
  <c r="K26" i="12"/>
  <c r="K16" i="6"/>
  <c r="K38" i="6"/>
  <c r="B23" i="29" s="1"/>
  <c r="L13" i="25" l="1"/>
  <c r="L17" i="25"/>
  <c r="L23" i="5"/>
  <c r="L14" i="25"/>
  <c r="L22" i="25"/>
  <c r="L5" i="25"/>
  <c r="K37" i="6"/>
  <c r="K17" i="6"/>
  <c r="K33" i="6" s="1"/>
  <c r="K34" i="6" s="1"/>
  <c r="B43" i="31"/>
  <c r="B26" i="29"/>
  <c r="B25" i="29"/>
  <c r="B27" i="29"/>
  <c r="C21" i="30"/>
  <c r="B40" i="31"/>
  <c r="K33" i="12"/>
  <c r="B28" i="29" l="1"/>
  <c r="L9" i="7"/>
  <c r="L26" i="5"/>
  <c r="L18" i="25"/>
  <c r="L20" i="7"/>
  <c r="L21" i="7" s="1"/>
  <c r="L23" i="25"/>
  <c r="L6" i="7" l="1"/>
  <c r="L11" i="7" s="1"/>
  <c r="L4" i="33"/>
  <c r="B43" i="29"/>
  <c r="B44" i="31" s="1"/>
  <c r="B6" i="31"/>
  <c r="B30" i="29"/>
  <c r="C23" i="2"/>
  <c r="C19" i="22"/>
  <c r="L6" i="33" l="1"/>
  <c r="L7" i="33"/>
  <c r="L8" i="33" s="1"/>
  <c r="M5" i="33" s="1"/>
  <c r="L12" i="7"/>
  <c r="M10" i="6"/>
  <c r="L9" i="33" l="1"/>
  <c r="L11" i="33" s="1"/>
  <c r="L27" i="5" l="1"/>
  <c r="L12" i="33"/>
  <c r="L13" i="7" l="1"/>
  <c r="L16" i="7" s="1"/>
  <c r="L29" i="5"/>
  <c r="L30" i="5" l="1"/>
  <c r="L12" i="12"/>
  <c r="L31" i="5"/>
  <c r="L13" i="12"/>
  <c r="L21" i="6"/>
  <c r="L35" i="7"/>
  <c r="L30" i="7"/>
  <c r="L15" i="6" l="1"/>
  <c r="L32" i="7"/>
  <c r="L14" i="12"/>
  <c r="L30" i="12"/>
  <c r="L31" i="6"/>
  <c r="L31" i="12" l="1"/>
  <c r="L32" i="12" s="1"/>
  <c r="L33" i="12" s="1"/>
  <c r="L34" i="12"/>
  <c r="L26" i="12"/>
  <c r="M31" i="7"/>
  <c r="L6" i="25"/>
  <c r="L7" i="25" s="1"/>
  <c r="L19" i="25" s="1"/>
  <c r="L34" i="7"/>
  <c r="L33" i="15"/>
  <c r="L34" i="15" s="1"/>
  <c r="M12" i="25"/>
  <c r="L38" i="6"/>
  <c r="L16" i="6"/>
  <c r="N10" i="6"/>
  <c r="M5" i="25" l="1"/>
  <c r="L37" i="6"/>
  <c r="L17" i="6"/>
  <c r="L33" i="6" s="1"/>
  <c r="L34" i="6" s="1"/>
  <c r="M13" i="25"/>
  <c r="M14" i="25" s="1"/>
  <c r="M23" i="5"/>
  <c r="M17" i="25"/>
  <c r="M18" i="25" l="1"/>
  <c r="M20" i="7"/>
  <c r="M21" i="7" s="1"/>
  <c r="M23" i="25"/>
  <c r="M9" i="7"/>
  <c r="M26" i="5"/>
  <c r="M22" i="25"/>
  <c r="M6" i="7" l="1"/>
  <c r="M11" i="7" s="1"/>
  <c r="M4" i="33"/>
  <c r="M6" i="33" l="1"/>
  <c r="M7" i="33"/>
  <c r="M8" i="33" s="1"/>
  <c r="N5" i="33" s="1"/>
  <c r="M12" i="7"/>
  <c r="M9" i="33" l="1"/>
  <c r="M11" i="33" s="1"/>
  <c r="M27" i="5" l="1"/>
  <c r="M12" i="33"/>
  <c r="M13" i="7" l="1"/>
  <c r="M16" i="7" s="1"/>
  <c r="M29" i="5"/>
  <c r="O10" i="6"/>
  <c r="M31" i="5" l="1"/>
  <c r="M12" i="12"/>
  <c r="M30" i="5"/>
  <c r="M21" i="6"/>
  <c r="M30" i="7"/>
  <c r="M35" i="7"/>
  <c r="M15" i="6" l="1"/>
  <c r="M32" i="7"/>
  <c r="M31" i="6"/>
  <c r="M30" i="12"/>
  <c r="M14" i="12"/>
  <c r="M13" i="12"/>
  <c r="M34" i="12" l="1"/>
  <c r="M31" i="12"/>
  <c r="M32" i="12" s="1"/>
  <c r="M33" i="12" s="1"/>
  <c r="C22" i="30" s="1"/>
  <c r="M26" i="12"/>
  <c r="M34" i="7"/>
  <c r="N12" i="25"/>
  <c r="M33" i="15"/>
  <c r="M34" i="15" s="1"/>
  <c r="N31" i="7"/>
  <c r="M6" i="25"/>
  <c r="M7" i="25" s="1"/>
  <c r="M19" i="25" s="1"/>
  <c r="M38" i="6"/>
  <c r="M16" i="6"/>
  <c r="N13" i="25" l="1"/>
  <c r="N14" i="25"/>
  <c r="N17" i="25"/>
  <c r="N23" i="5"/>
  <c r="N22" i="25"/>
  <c r="N5" i="25"/>
  <c r="M37" i="6"/>
  <c r="M17" i="6"/>
  <c r="M33" i="6" s="1"/>
  <c r="B14" i="31"/>
  <c r="C20" i="32"/>
  <c r="N18" i="25" l="1"/>
  <c r="N20" i="7"/>
  <c r="N21" i="7" s="1"/>
  <c r="N23" i="25"/>
  <c r="N26" i="5"/>
  <c r="N9" i="7"/>
  <c r="M34" i="6"/>
  <c r="N6" i="7" l="1"/>
  <c r="N11" i="7" s="1"/>
  <c r="N4" i="33"/>
  <c r="N12" i="7" l="1"/>
  <c r="N6" i="33"/>
  <c r="N7" i="33"/>
  <c r="N9" i="33" s="1"/>
  <c r="N11" i="33" s="1"/>
  <c r="N27" i="5" l="1"/>
  <c r="N12" i="33"/>
  <c r="N8" i="33"/>
  <c r="O5" i="33" s="1"/>
  <c r="N13" i="7" l="1"/>
  <c r="N16" i="7" s="1"/>
  <c r="N29" i="5"/>
  <c r="N12" i="12" l="1"/>
  <c r="N31" i="5"/>
  <c r="N30" i="5"/>
  <c r="N13" i="12"/>
  <c r="N21" i="6"/>
  <c r="N30" i="7"/>
  <c r="N35" i="7"/>
  <c r="N15" i="6" l="1"/>
  <c r="N32" i="7"/>
  <c r="N31" i="6"/>
  <c r="N30" i="12"/>
  <c r="N14" i="12"/>
  <c r="N34" i="12" l="1"/>
  <c r="N31" i="12"/>
  <c r="N32" i="12" s="1"/>
  <c r="N33" i="12" s="1"/>
  <c r="N26" i="12"/>
  <c r="N34" i="7"/>
  <c r="N33" i="15"/>
  <c r="N34" i="15" s="1"/>
  <c r="O12" i="25"/>
  <c r="O31" i="7"/>
  <c r="N6" i="25"/>
  <c r="N7" i="25" s="1"/>
  <c r="N19" i="25" s="1"/>
  <c r="N38" i="6"/>
  <c r="N16" i="6"/>
  <c r="O13" i="25" l="1"/>
  <c r="O14" i="25"/>
  <c r="O23" i="5"/>
  <c r="O17" i="25"/>
  <c r="O22" i="25"/>
  <c r="N37" i="6"/>
  <c r="N17" i="6"/>
  <c r="N33" i="6" s="1"/>
  <c r="O5" i="25"/>
  <c r="N34" i="6" l="1"/>
  <c r="O18" i="25"/>
  <c r="O20" i="7"/>
  <c r="O21" i="7" s="1"/>
  <c r="O23" i="25"/>
  <c r="O26" i="5"/>
  <c r="O9" i="7"/>
  <c r="O6" i="7" l="1"/>
  <c r="O11" i="7" s="1"/>
  <c r="O4" i="33"/>
  <c r="O6" i="33" l="1"/>
  <c r="O7" i="33"/>
  <c r="O8" i="33" s="1"/>
  <c r="O12" i="7"/>
  <c r="O9" i="33" l="1"/>
  <c r="O11" i="33" s="1"/>
  <c r="O27" i="5" l="1"/>
  <c r="O12" i="33"/>
  <c r="O13" i="7" l="1"/>
  <c r="O16" i="7" s="1"/>
  <c r="O29" i="5"/>
  <c r="O12" i="12" l="1"/>
  <c r="D14" i="2"/>
  <c r="E9" i="22"/>
  <c r="O31" i="5"/>
  <c r="O30" i="5"/>
  <c r="O21" i="6"/>
  <c r="O35" i="7"/>
  <c r="O30" i="7"/>
  <c r="O15" i="6" l="1"/>
  <c r="O32" i="7"/>
  <c r="O13" i="12"/>
  <c r="O31" i="6"/>
  <c r="O30" i="12"/>
  <c r="O14" i="12"/>
  <c r="O34" i="12" l="1"/>
  <c r="O31" i="12"/>
  <c r="O32" i="12" s="1"/>
  <c r="O34" i="7"/>
  <c r="O33" i="15"/>
  <c r="O34" i="15" s="1"/>
  <c r="E11" i="22"/>
  <c r="O6" i="25"/>
  <c r="O7" i="25" s="1"/>
  <c r="O19" i="25" s="1"/>
  <c r="O26" i="12"/>
  <c r="O38" i="6"/>
  <c r="O16" i="6"/>
  <c r="B11" i="32"/>
  <c r="O33" i="12" l="1"/>
  <c r="B20" i="32" s="1"/>
  <c r="B46" i="8"/>
  <c r="O37" i="6"/>
  <c r="O17" i="6"/>
  <c r="O33" i="6" s="1"/>
  <c r="O34" i="6" l="1"/>
  <c r="B12" i="32"/>
  <c r="B5" i="32" s="1"/>
  <c r="B6" i="32" s="1"/>
  <c r="B45"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91" authorId="0" shapeId="0" xr:uid="{C11ED953-20D0-445C-9BEC-F33221A4D5BF}">
      <text>
        <r>
          <rPr>
            <b/>
            <sz val="9"/>
            <color indexed="81"/>
            <rFont val="Tahoma"/>
            <family val="2"/>
          </rPr>
          <t>User:</t>
        </r>
        <r>
          <rPr>
            <sz val="9"/>
            <color indexed="81"/>
            <rFont val="Tahoma"/>
            <family val="2"/>
          </rPr>
          <t xml:space="preserve">
FY23 had a net tax CREDIT of 44 on a pre-tax LOSS of 1,014, so this ratio is not an economically meaningful effective tax rate. Shown for completeness only.</t>
        </r>
      </text>
    </comment>
    <comment ref="E91" authorId="0" shapeId="0" xr:uid="{E94E9F54-8C6B-45D1-A1CA-F09D03183FE7}">
      <text>
        <r>
          <rPr>
            <b/>
            <sz val="9"/>
            <color indexed="81"/>
            <rFont val="Tahoma"/>
            <family val="2"/>
          </rPr>
          <t>User:</t>
        </r>
        <r>
          <rPr>
            <sz val="9"/>
            <color indexed="81"/>
            <rFont val="Tahoma"/>
            <family val="2"/>
          </rPr>
          <t xml:space="preserve">
Negative because FY24 carried a net deferred tax CREDIT of 60 against pre-tax profit of 291. Not a forward-looking effective tax rate.</t>
        </r>
      </text>
    </comment>
    <comment ref="D112" authorId="0" shapeId="0" xr:uid="{9C5F24DE-B1E0-4E57-946E-41FA239BC568}">
      <text>
        <r>
          <rPr>
            <b/>
            <sz val="9"/>
            <color indexed="81"/>
            <rFont val="Tahoma"/>
            <family val="2"/>
          </rPr>
          <t>User:</t>
        </r>
        <r>
          <rPr>
            <sz val="9"/>
            <color indexed="81"/>
            <rFont val="Tahoma"/>
            <family val="2"/>
          </rPr>
          <t xml:space="preserve">
Other / maintenance capex is not filled for actual years because Eternal does not disclose a split of capex between new dark stores and maintenance/other. Total capex for actual years is captured on CFS row 8 and flows into FA_Schedule row 33; only the FY27E onward forecast needs this split. The same limitation is logged on FA_Schedule rows 31-32.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1" authorId="0" shapeId="0" xr:uid="{4C091C87-B38C-478E-BE71-3319A08FC7DA}">
      <text>
        <r>
          <rPr>
            <b/>
            <sz val="9"/>
            <color indexed="81"/>
            <rFont val="Tahoma"/>
            <family val="2"/>
          </rPr>
          <t>User:</t>
        </r>
        <r>
          <rPr>
            <sz val="9"/>
            <color indexed="81"/>
            <rFont val="Tahoma"/>
            <family val="2"/>
          </rPr>
          <t xml:space="preserve">
Goodwill 5,737 + other intangibles 611 per the audited balance sheet at 31-Mar-2026. Small difference vs opening less amortisation is intangible additions in the year.</t>
        </r>
      </text>
    </comment>
    <comment ref="C48" authorId="0" shapeId="0" xr:uid="{51CA4C1E-5715-4809-8612-0D7DC97E9F70}">
      <text>
        <r>
          <rPr>
            <b/>
            <sz val="9"/>
            <color indexed="81"/>
            <rFont val="Tahoma"/>
            <family val="2"/>
          </rPr>
          <t>User:</t>
        </r>
        <r>
          <rPr>
            <sz val="9"/>
            <color indexed="81"/>
            <rFont val="Tahoma"/>
            <family val="2"/>
          </rPr>
          <t xml:space="preserve">
Negative because FY23 Adjusted EBITDA was a loss of INR 783 Cr. Not a meaningful depreciation-cover ratio; shown for completeness of the actual-year columns.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32" authorId="0" shapeId="0" xr:uid="{6C503AAE-ADEC-4093-BEA0-DD74D745D187}">
      <text>
        <r>
          <rPr>
            <b/>
            <sz val="9"/>
            <color indexed="81"/>
            <rFont val="Tahoma"/>
            <family val="2"/>
          </rPr>
          <t>User:</t>
        </r>
        <r>
          <rPr>
            <sz val="9"/>
            <color indexed="81"/>
            <rFont val="Tahoma"/>
            <family val="2"/>
          </rPr>
          <t xml:space="preserve">
Not meaningful: FY23 Adjusted EBITDA was a loss of INR 783 Cr, so the ratio is negative by construction. Shown for completeness.</t>
        </r>
      </text>
    </comment>
    <comment ref="D34" authorId="0" shapeId="0" xr:uid="{FA4DBF2C-CB1B-4193-BE8F-816BD19166CD}">
      <text>
        <r>
          <rPr>
            <b/>
            <sz val="9"/>
            <color indexed="81"/>
            <rFont val="Tahoma"/>
            <family val="2"/>
          </rPr>
          <t>User:</t>
        </r>
        <r>
          <rPr>
            <sz val="9"/>
            <color indexed="81"/>
            <rFont val="Tahoma"/>
            <family val="2"/>
          </rPr>
          <t xml:space="preserve">
Not meaningful: both numerator (net cash) and denominator (Adjusted EBITDA loss) are negative in FY23, so the ratio reads positive. The group was net cash of INR 10,857 Cr.</t>
        </r>
      </text>
    </comment>
    <comment ref="D35" authorId="0" shapeId="0" xr:uid="{4B0B16CB-EF41-4F5C-BDFC-45BFE0FF4C82}">
      <text>
        <r>
          <rPr>
            <b/>
            <sz val="9"/>
            <color indexed="81"/>
            <rFont val="Tahoma"/>
            <family val="2"/>
          </rPr>
          <t>User:</t>
        </r>
        <r>
          <rPr>
            <sz val="9"/>
            <color indexed="81"/>
            <rFont val="Tahoma"/>
            <family val="2"/>
          </rPr>
          <t xml:space="preserve">
Negative: FY23 Adjusted EBITDA was a loss, so there was no interest cover. Shown for completeness.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3" authorId="0" shapeId="0" xr:uid="{7E07B906-DABA-4EC7-8EB1-5FEDF32A66B8}">
      <text>
        <r>
          <rPr>
            <b/>
            <sz val="9"/>
            <color indexed="81"/>
            <rFont val="Tahoma"/>
            <family val="2"/>
          </rPr>
          <t>User:</t>
        </r>
        <r>
          <rPr>
            <sz val="9"/>
            <color indexed="81"/>
            <rFont val="Tahoma"/>
            <family val="2"/>
          </rPr>
          <t xml:space="preserve">
FY23/FY24 figure is Gross Order Value (GOV) as originally disclosed. Eternal moved to Net Order Value (NOV) from Q1FY26, so this is not directly comparable with the FY25 onwards columns.</t>
        </r>
      </text>
    </comment>
    <comment ref="E13" authorId="0" shapeId="0" xr:uid="{94342692-9E83-45DB-A33E-9ECC74B05C69}">
      <text>
        <r>
          <rPr>
            <b/>
            <sz val="9"/>
            <color indexed="81"/>
            <rFont val="Tahoma"/>
            <family val="2"/>
          </rPr>
          <t>User:</t>
        </r>
        <r>
          <rPr>
            <sz val="9"/>
            <color indexed="81"/>
            <rFont val="Tahoma"/>
            <family val="2"/>
          </rPr>
          <t xml:space="preserve">
FY23/FY24 figure is Gross Order Value (GOV) as originally disclosed. Eternal moved to Net Order Value (NOV) from Q1FY26, so this is not directly comparable with the FY25 onwards columns.</t>
        </r>
      </text>
    </comment>
    <comment ref="D18" authorId="0" shapeId="0" xr:uid="{48342BB0-E010-4FEA-A673-5C8DCD4690D5}">
      <text>
        <r>
          <rPr>
            <b/>
            <sz val="9"/>
            <color indexed="81"/>
            <rFont val="Tahoma"/>
            <family val="2"/>
          </rPr>
          <t>User:</t>
        </r>
        <r>
          <rPr>
            <sz val="9"/>
            <color indexed="81"/>
            <rFont val="Tahoma"/>
            <family val="2"/>
          </rPr>
          <t xml:space="preserve">
FY23 excludes going-out order value (not a reportable segment until 1-Jul-2023). FY23/FY24 are GOV, not NOV.</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56" authorId="0" shapeId="0" xr:uid="{14A0DB2C-A6BB-4D38-A83A-EB6637F8D8F7}">
      <text>
        <r>
          <rPr>
            <b/>
            <sz val="9"/>
            <color indexed="81"/>
            <rFont val="Tahoma"/>
            <family val="2"/>
          </rPr>
          <t>User:</t>
        </r>
        <r>
          <rPr>
            <sz val="9"/>
            <color indexed="81"/>
            <rFont val="Tahoma"/>
            <family val="2"/>
          </rPr>
          <t xml:space="preserve">
The SOTP applies a blended 27.2x to FY2030E Adjusted EBITDA, while the DCF's own terminal value implies only about 6.2-6.6x FY2034E EBITDA - and FY2034 is a year in which the business is larger, more profitable and slower-growing than FY2030, so it should command a LOWER multiple than FY2030, not one four times lower. The two pages are not describing the same company. Reconcile before this model is shown to anyone: either the SOTP exit multiples come down towards the high teens, or the DCF's terminal growth rate rises towards nominal GDP, or both.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8" authorId="0" shapeId="0" xr:uid="{5798633D-9F36-4073-9617-95AF14A16777}">
      <text>
        <r>
          <rPr>
            <b/>
            <sz val="9"/>
            <color indexed="81"/>
            <rFont val="Tahoma"/>
            <family val="2"/>
          </rPr>
          <t>User:</t>
        </r>
        <r>
          <rPr>
            <sz val="9"/>
            <color indexed="81"/>
            <rFont val="Tahoma"/>
            <family val="2"/>
          </rPr>
          <t xml:space="preserve">
CHANGED: the multiple was 0.0x and the enterprise-value formula was wrapped in MAX(0, ...), which floored the value of Others at exactly zero. That gave a business consuming cash a free pass - it destroys value every year of the forecast yet contributed nothing negative to the SOTP. A loss-making segment with no credible path to breakeven inside the forecast window carries NEGATIVE enterprise value equal to the capitalised burn.
Now applies 10.0x to the FY2030E Adjusted EBITDA of -100 Cr, giving -1,000 Cr of enterprise value and reducing total EV from 422,882 to 421,882 Cr. The 10x is a judgement multiple, not a sourced figure - it approximates capitalising a steady-state loss at a mid-teens discount rate. If you believe Bistro and the other incubations carry real option value, replace this with an explicit option valuation rather than reverting to zero; the point is that the cell must not be floored.</t>
        </r>
      </text>
    </comment>
    <comment ref="A17" authorId="0" shapeId="0" xr:uid="{B6893D9B-4E46-4C1D-BB60-F57507000174}">
      <text>
        <r>
          <rPr>
            <b/>
            <sz val="9"/>
            <color indexed="81"/>
            <rFont val="Tahoma"/>
            <family val="2"/>
          </rPr>
          <t>User:</t>
        </r>
        <r>
          <rPr>
            <sz val="9"/>
            <color indexed="81"/>
            <rFont val="Tahoma"/>
            <family val="2"/>
          </rPr>
          <t xml:space="preserve">
REBUILT VALUE LADDER. The previous ladder contained three methodology errors that a PM would reject on sight:
1. TIME-BASIS MISMATCH. It added FY2026A net cash of 16,356 Cr to an FY2030E enterprise value, then discounted the combined equity value back four years. That discounts today's cash balance as though it were a 2030 cash flow, and simultaneously ignores the cash the business generates between FY2027 and FY2030. Correct treatment: discount only the enterprise value (the FY2030E figure, which is what the exit multiples produce) back to today, then add today's net cash undiscounted. Rows 11 to 15 now do exactly that.
2. WRONG DISCOUNT RATE. The old row discounted at the cost of equity (14.83%). The segment values are built from EV/EBITDA multiples applied to unlevered segment EBITDA, so the quantity being discounted is an ENTERPRISE value and the correct rate is WACC (14.41%, read live from DCF!B9), not Ke. Using Ke on an enterprise value understated the result.
3. STALE SHARE COUNT. It divided a 2030-vintage value by today's 919 crore shares, ignoring four years of ESOP dilution. Row 16 now pulls FY2030E diluted shares of 938.2 crore from the Share Count &amp; Dilution roll-forward - 2.1% cumulative dilution.
NET EFFECT: value per share moves from 280.55 (was 274.88 before these fixes) - the three errors were largely self-cancelling, so the headline barely moved, but the derivation is now defensible under questioning. Upside vs the 281 market price is -0.2%, i.e. the SOTP says the stock is fairly priced and offers no margin of safety.</t>
        </r>
      </text>
    </comment>
    <comment ref="D68" authorId="0" shapeId="0" xr:uid="{FEC7FD9E-E693-4D17-B5E6-3ACF87D8829E}">
      <text>
        <r>
          <rPr>
            <sz val="9"/>
            <color indexed="81"/>
            <rFont val="Tahoma"/>
            <family val="2"/>
          </rPr>
          <t xml:space="preserve">
Judgement input. Set just below the 6.8% risk-free rate, which is the ceiling for a nominal terminal growth rate. The live DCF still runs 5.0% (Assumptions!B122) — this cell is a test, not a link, so nothing downstream moves.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F5B20898-6CCB-4384-9F3F-E702D51CB048}">
      <text>
        <r>
          <rPr>
            <b/>
            <sz val="9"/>
            <color indexed="81"/>
            <rFont val="Tahoma"/>
            <family val="2"/>
          </rPr>
          <t>User:</t>
        </r>
        <r>
          <rPr>
            <sz val="9"/>
            <color indexed="81"/>
            <rFont val="Tahoma"/>
            <family val="2"/>
          </rPr>
          <t xml:space="preserve">
WHAT WAS WRONG AND WHAT CHANGED.
1. THE BULL CASE WAS NOT A BULL CASE. Base-case CAGRs in column C are DERIVED from the live model (e.g. Blinkit 51.8%, computed off the Revenue Schedule), while the bull case in column D was hardcoded. Two of the four hardcodes sat BELOW the derived base: Blinkit at 48% against a base of 51.8%, and Hyperpure at 24% against a base of 27.3%. The bull case therefore produced LOWER segment revenue than the base case and was rescued only by a higher exit multiple - which means it was a multiple-expansion scenario wearing a fundamentals label. Bull drivers are now 58% Blinkit, 22% food delivery, 40% District, 33% Hyperpure, all genuinely above base. Rows 41 and 42 are permanent guard checks that will read FAIL if this inversion is ever reintroduced.
2. THE VALUE LADDER REPEATED THE SOTP'S THREE ERRORS. It added FY2026A net cash to an FY2030E enterprise value, discounted the combined equity value at the cost of equity, and divided by today's share count. Now: the enterprise value alone is discounted four years at WACC (row 28), today's net cash is added undiscounted (row 29), and the result is divided by FY2030E diluted shares of 938.2 crore from the Share Count &amp; Dilution roll-forward (row 31).
3. THERE WAS NO PROBABILITY WEIGHTING. A three-column scenario table without probabilities cannot support a position-sizing decision. Rows 34 to 39 add explicit probabilities (30/45/25, blue inputs - change them, they are a judgement not a fact), a sum-to-100% check, an expected value, and a reward-to-risk ratio.
RESULTS AFTER THE FIXES: bear 104.47 (-62.8%), base 279.93 (-0.4%), bull 573.01 (+103.9%). Probability-weighted expected value 300.56, or +7.0% against the 281 market price. Reward-to-risk 1.65x.
STILL NOT DONE - READ BEFORE RELYING ON THIS PAGE. The scenarios flex only growth, margin and exit multiple. They do NOT flex capital intensity (capex per dark store is 2.5 Cr in all three cases), working capital, dark-store count, take rate, or the cost of capital. A genuine bear case for this business is not simply slower growth at the same unit economics - it is a price war in which Blinkit adds stores at the bull-case pace while margins stay at the bear-case level, which would consume far more capital than any column here shows. Nor do these scenarios flow through the 3-statement model, so no column tells you the bear-case cash balance. Those are the next two pieces of work on this tab.</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1" authorId="0" shapeId="0" xr:uid="{369EECF5-E2A6-43D7-8813-F8391F6074A9}">
      <text>
        <r>
          <rPr>
            <b/>
            <sz val="9"/>
            <color indexed="81"/>
            <rFont val="Tahoma"/>
            <family val="2"/>
          </rPr>
          <t>User:</t>
        </r>
        <r>
          <rPr>
            <sz val="9"/>
            <color indexed="81"/>
            <rFont val="Tahoma"/>
            <family val="2"/>
          </rPr>
          <t xml:space="preserve">
PURPOSE. A DCF tells you what you think the business is worth. A reverse DCF tells you what the market already believes - which is the only way to know whether you have a differentiated view or are simply restating consensus. This sheet was missing entirely, and it is the single most important omission in the workbook: without it there is no way to answer a PM's first question, 'what is priced in?'
METHOD. Nothing here is assumed. The market price of 281 is taken as given, net cash is added back to reach a market-implied enterprise value of 241,883 Cr, the model's own FY2027-34 FCFF stream is held fixed, and the terminal assumption is then SOLVED for rather than input.
THREE ANSWERS, ALL POINTING THE SAME WAY:
1. Market-implied terminal GROWTH is 10.02% (row 18), against the DCF's 5.00% and a risk-free rate of 6.80%. The market is paying for perpetual nominal growth just below Indian nominal GDP of roughly 10.5%. That is demanding but not absurd - it is the maximum defensible terminal growth for a category leader, and it leaves no room for error.
2. Market-implied terminal EV/EBITDA is 14.2x FY2034E (row 27). This is the most useful number on the page because it sits BETWEEN the DCF's own 6.6x and the SOTP's 27.2x on FY2030E. It says both valuation pages are wrong in opposite directions: the DCF terminal is too harsh, the SOTP exit multiples are too rich, and the market is priced roughly in the middle at a multiple that is entirely reasonable for a mature, high-ROIC platform.
3. Market-implied WACC is 10.66% (row 34), 3.74 percentage points below the model's 14.41%. Solved by grid interpolation over rows 39 to 75 rather than by circular reference, so it is auditable: read down the grid and see the value per share cross 281 between the 10.50% and 10.75% rows.
HOW TO USE THIS. The investment question is no longer 'is the DCF right'. It is: do you believe Eternal can grow at close to nominal GDP in perpetuity while earning a 25%-plus ROIC, and is 14.4% the right discount rate for a debt-free duopoly leader with a 99,000 Cr terminal cash balance? If you think the correct WACC is 11-12% rather than 14.4%, the stock is cheap and the model's WACC is the problem. If you hold 14.4%, the market is discounting a terminal growth rate you cannot underwrite and the stock is expensive. State which of these you believe on the Memo tab - that is the variant perception.</t>
        </r>
      </text>
    </comment>
    <comment ref="A33" authorId="0" shapeId="0" xr:uid="{B3F482D3-22EC-4846-B100-D364AA8C855F}">
      <text>
        <r>
          <rPr>
            <b/>
            <sz val="9"/>
            <color indexed="81"/>
            <rFont val="Tahoma"/>
            <family val="2"/>
          </rPr>
          <t>User:</t>
        </r>
        <r>
          <rPr>
            <sz val="9"/>
            <color indexed="81"/>
            <rFont val="Tahoma"/>
            <family val="2"/>
          </rPr>
          <t xml:space="preserve">
Solved by linear interpolation across the WACC grid in rows 39 to 75 (7.00% to 16.00% in 0.25% steps), not by iterative circular reference, so the result can be checked by eye. B37 is the visible helper cell holding the first grid row at which value per share falls below the 281 market price; B34 interpolates between that row and the one above it.
The grid recomputes the full DCF at each trial WACC: it discounts the model's own FY2027-34 FCFF stream (DCF row 17) by the trial rate using the discount periods in DCF row 18, adds a Gordon terminal value on FY2034E FCFF at the model's 5.0% terminal growth, then adds net cash and divides by the share count. It is therefore a true reverse DCF, not a sensitivity approximation.
CAVEAT: this holds terminal growth at 5.0%. Because a 5.0% nominal terminal growth rate is itself too low (see the note on DCF row 46), the 10.66% market-implied WACC is best read as an upper bound on how optimistic the market's discount rate must be. Raise g towards the risk-free rate and the market-implied WACC rises towards 12%, which is a far more ordinary number for an Indian large-cap. Do not present the 3.74pp gap as evidence of market irrationality without saying which g it assumes.</t>
        </r>
      </text>
    </comment>
  </commentList>
</comments>
</file>

<file path=xl/sharedStrings.xml><?xml version="1.0" encoding="utf-8"?>
<sst xmlns="http://schemas.openxmlformats.org/spreadsheetml/2006/main" count="2752" uniqueCount="1835">
  <si>
    <t>ETERNAL LIMITED (formerly Zomato Ltd)  |  NSE: ETERNAL  |  BSE: 543320</t>
  </si>
  <si>
    <t>MODEL SCOPE</t>
  </si>
  <si>
    <t>All figures in INR crore unless stated. FY = year ending 31 March. Segment build uses company-disclosed NOV / Adjusted Revenue / Adjusted EBITDA.</t>
  </si>
  <si>
    <t>Adjusted EBITDA = EBITDA + share-based payment expense − rent paid on Ind AS 116 leases (company definition, Q4FY26 letter).</t>
  </si>
  <si>
    <t>KEY OUTPUTS</t>
  </si>
  <si>
    <t>Unit</t>
  </si>
  <si>
    <t>FY2026A</t>
  </si>
  <si>
    <t>FY2034E</t>
  </si>
  <si>
    <t>B2C Net Order Value (NOV)</t>
  </si>
  <si>
    <t>INR Cr</t>
  </si>
  <si>
    <t>Adjusted Revenue</t>
  </si>
  <si>
    <t>Adjusted EBITDA</t>
  </si>
  <si>
    <t>Adjusted EBITDA margin (% of adj. revenue)</t>
  </si>
  <si>
    <t>%</t>
  </si>
  <si>
    <t>Profit after tax (PAT)</t>
  </si>
  <si>
    <t>Blinkit dark stores (EOY)</t>
  </si>
  <si>
    <t>#</t>
  </si>
  <si>
    <t>DCF intrinsic value / share</t>
  </si>
  <si>
    <t>INR</t>
  </si>
  <si>
    <t>Current market price (24-Jul-2026)</t>
  </si>
  <si>
    <t>Upside / (downside)</t>
  </si>
  <si>
    <t>ASSUMPTIONS — all model inputs (blue = input, black = formula)</t>
  </si>
  <si>
    <t>Item</t>
  </si>
  <si>
    <t>FY2025A</t>
  </si>
  <si>
    <t>FY2027E</t>
  </si>
  <si>
    <t>FY2028E</t>
  </si>
  <si>
    <t>FY2029E</t>
  </si>
  <si>
    <t>FY2030E</t>
  </si>
  <si>
    <t>FY2031E</t>
  </si>
  <si>
    <t>FY2032E</t>
  </si>
  <si>
    <t>FY2033E</t>
  </si>
  <si>
    <t>Source / Rationale</t>
  </si>
  <si>
    <t>Actual</t>
  </si>
  <si>
    <t>Forecast</t>
  </si>
  <si>
    <t>FOOD DELIVERY (ZOMATO)</t>
  </si>
  <si>
    <t>NOV growth</t>
  </si>
  <si>
    <t>Adjusted revenue as % of NOV (take rate)</t>
  </si>
  <si>
    <t>FY26A take rate 30.8% (adj. revenue 11,698 / NOV 37,993). Rising slowly on platform fee + ad monetisation, capped at 33% — mgmt says 'revenue per order and cost efficiencies have kept pace' (Q4FY26 letter, Q7).</t>
  </si>
  <si>
    <t>Adjusted EBITDA margin (% of NOV)</t>
  </si>
  <si>
    <t>QUICK COMMERCE (BLINKIT)</t>
  </si>
  <si>
    <t>Net new dark stores added</t>
  </si>
  <si>
    <t>Dark stores (EOY)</t>
  </si>
  <si>
    <t>NOV per day, per store</t>
  </si>
  <si>
    <t>INR '000</t>
  </si>
  <si>
    <t>Adjusted revenue as % of NOV (1P model)</t>
  </si>
  <si>
    <t>GOING-OUT (DISTRICT)</t>
  </si>
  <si>
    <t>FY26A: revenue 973 / NOV 9,399 = 10.4%. Mix shift toward higher-take live events and movies lifts it modestly.</t>
  </si>
  <si>
    <t>B2B SUPPLIES (HYPERPURE)</t>
  </si>
  <si>
    <t>Revenue growth</t>
  </si>
  <si>
    <t>OTHERS (incl. Bistro)</t>
  </si>
  <si>
    <t>CORPORATE / P&amp;L DRIVERS</t>
  </si>
  <si>
    <t>Share-based payment expense</t>
  </si>
  <si>
    <t>Tracks net store adds (Blinkit added 17mn sq ft of dark-store/warehouse space by Q4FY26).</t>
  </si>
  <si>
    <t>Treasury yield on opening cash &amp; investments</t>
  </si>
  <si>
    <t>CAPEX &amp; WORKING CAPITAL</t>
  </si>
  <si>
    <t>Capex per net new dark store</t>
  </si>
  <si>
    <t>Other / maintenance capex</t>
  </si>
  <si>
    <t>VALUATION INPUTS</t>
  </si>
  <si>
    <t>Risk-free rate (Rf)</t>
  </si>
  <si>
    <t>India 10-yr G-Sec traded ~6.74-6.82% in Jul-2026; Bank of Baroda expects a 6.70-6.85% range for the rest of Jul-26.</t>
  </si>
  <si>
    <t>Equity risk premium (ERP)</t>
  </si>
  <si>
    <t>Beta (levered)</t>
  </si>
  <si>
    <t>Cost of equity (Ke)</t>
  </si>
  <si>
    <t>CAPM: Rf + Beta × ERP</t>
  </si>
  <si>
    <t>Post-tax cost of debt (Kd)</t>
  </si>
  <si>
    <t>WACC</t>
  </si>
  <si>
    <t>We × Ke + Wd × Kd</t>
  </si>
  <si>
    <t>Terminal growth rate (g)</t>
  </si>
  <si>
    <t>Shares outstanding</t>
  </si>
  <si>
    <t>Current market price (INR)</t>
  </si>
  <si>
    <t>NSE close ~INR 280.9-284.4, 22-24 Jul 2026. Update before use.</t>
  </si>
  <si>
    <t>Net cash &amp; treasury investments (FY26A)</t>
  </si>
  <si>
    <t>Closing cash balance INR 17,972 Cr at 31-Mar-2026 (Q4FY26 letter cash bridge); excludes lease liabilities, which are deducted separately in the DCF.</t>
  </si>
  <si>
    <t>Lease liabilities (FY26A)</t>
  </si>
  <si>
    <t>Non-current 3,833 + current 759 (audited FY26 balance sheet).</t>
  </si>
  <si>
    <t>Line item</t>
  </si>
  <si>
    <t>Source (historicals)</t>
  </si>
  <si>
    <t>Net Order Value (NOV)</t>
  </si>
  <si>
    <t xml:space="preserve">  NOV growth</t>
  </si>
  <si>
    <t>Adjusted revenue</t>
  </si>
  <si>
    <t xml:space="preserve">  Take rate (% of NOV)</t>
  </si>
  <si>
    <t>Dark stores (end of year)</t>
  </si>
  <si>
    <t>Average stores during year</t>
  </si>
  <si>
    <t>Revenue</t>
  </si>
  <si>
    <t>B2C NOV (food delivery + quick commerce + going-out)</t>
  </si>
  <si>
    <t xml:space="preserve">  Revenue growth</t>
  </si>
  <si>
    <t>CONSOLIDATED</t>
  </si>
  <si>
    <t>Total Adjusted Revenue</t>
  </si>
  <si>
    <t>INCOME STATEMENT — Eternal Limited, consolidated (INR Cr)</t>
  </si>
  <si>
    <t>Source / Note</t>
  </si>
  <si>
    <t>Food delivery (Zomato)</t>
  </si>
  <si>
    <t>Quick commerce (Blinkit)</t>
  </si>
  <si>
    <t>Going-out (District)</t>
  </si>
  <si>
    <t>B2B supplies (Hyperpure)</t>
  </si>
  <si>
    <t>Others (incl. Bistro)</t>
  </si>
  <si>
    <t>TOTAL ADJUSTED REVENUE</t>
  </si>
  <si>
    <t xml:space="preserve">  Growth</t>
  </si>
  <si>
    <t>TOTAL ADJUSTED EBITDA</t>
  </si>
  <si>
    <t>FY26A 819 / FY25A 798 per consolidated cash flow statement</t>
  </si>
  <si>
    <t>Forecast = treasury yield x opening cash &amp; investments</t>
  </si>
  <si>
    <t>PROFIT BEFORE TAX</t>
  </si>
  <si>
    <t>PROFIT AFTER TAX (PAT)</t>
  </si>
  <si>
    <t xml:space="preserve">  Earnings per share (basic)</t>
  </si>
  <si>
    <t>Closing cash &amp; treasury investments</t>
  </si>
  <si>
    <t>New dark store capex</t>
  </si>
  <si>
    <t>Total capital expenditure</t>
  </si>
  <si>
    <t>BALANCE SHEET — condensed, consolidated (INR Cr)</t>
  </si>
  <si>
    <t>ASSETS</t>
  </si>
  <si>
    <t>Forecast: prior year + net change in cash from the CFS bridge</t>
  </si>
  <si>
    <t>Inventories</t>
  </si>
  <si>
    <t>Trade receivables</t>
  </si>
  <si>
    <t>Forecast: balancing item so the condensed balance sheet ties</t>
  </si>
  <si>
    <t>TOTAL ASSETS</t>
  </si>
  <si>
    <t>Check: audited total assets FY25 35,623 / FY26 40,736</t>
  </si>
  <si>
    <t>EQUITY &amp; LIABILITIES</t>
  </si>
  <si>
    <t>Forecast: prior year + PAT + share-based payment credited to equity. No dividends or buybacks assumed.</t>
  </si>
  <si>
    <t>Trade payables</t>
  </si>
  <si>
    <t>TOTAL EQUITY &amp; LIABILITIES</t>
  </si>
  <si>
    <t>Must be zero. Forecast years balance by construction via the 'Other assets (net, balancing)' line.</t>
  </si>
  <si>
    <t>DCF VALUATION — Eternal Limited (FCFF, cash-rent basis)</t>
  </si>
  <si>
    <t>WACC (discount rate)</t>
  </si>
  <si>
    <t>FREE CASH FLOW TO FIRM</t>
  </si>
  <si>
    <t>Less: capital expenditure</t>
  </si>
  <si>
    <t>Less: increase in net working capital</t>
  </si>
  <si>
    <t>FCFF</t>
  </si>
  <si>
    <t>Discount period (years)</t>
  </si>
  <si>
    <t>Discount factor</t>
  </si>
  <si>
    <t>PV of FCFF</t>
  </si>
  <si>
    <t>TERMINAL VALUE</t>
  </si>
  <si>
    <t>Terminal FCFF (FY2034E × (1+g))</t>
  </si>
  <si>
    <t>Terminal value at FY2034 [FCFF / (WACC − g)]</t>
  </si>
  <si>
    <t>PV of terminal value</t>
  </si>
  <si>
    <t>VALUATION SUMMARY</t>
  </si>
  <si>
    <t>Sum of PV of FCFF (FY27E-FY34E)</t>
  </si>
  <si>
    <t>Enterprise value</t>
  </si>
  <si>
    <t>Add: net cash &amp; treasury investments (FY26A)</t>
  </si>
  <si>
    <t>Equity value</t>
  </si>
  <si>
    <t>Shares outstanding (crore)</t>
  </si>
  <si>
    <t>Intrinsic value per share (INR)</t>
  </si>
  <si>
    <t>SANITY CHECKS</t>
  </si>
  <si>
    <t>Terminal value as % of enterprise value</t>
  </si>
  <si>
    <t>High TV weighting is inherent to an early-margin-ramp business; treat the SOTP and scenario pages as cross-checks.</t>
  </si>
  <si>
    <t>Implied market-implied EV (at CMP)</t>
  </si>
  <si>
    <t>Segment</t>
  </si>
  <si>
    <t>% of total EV</t>
  </si>
  <si>
    <t>Rationale</t>
  </si>
  <si>
    <t>Duopoly leader, mid-teens NOV growth, 6%+ margin on NOV</t>
  </si>
  <si>
    <t>Fastest-growing asset; margin still ramping toward guided 5-6% of NOV</t>
  </si>
  <si>
    <t>Asset-light experiences platform; lumpy quarter to quarter</t>
  </si>
  <si>
    <t>Distribution economics, 4-5% guided margin</t>
  </si>
  <si>
    <t>TOTAL ENTERPRISE VALUE</t>
  </si>
  <si>
    <t>Upside / (downside) vs SOTP</t>
  </si>
  <si>
    <t>CROSS-CHECK: quick commerce on EV/NOV</t>
  </si>
  <si>
    <t>Blinkit FY2030E NOV</t>
  </si>
  <si>
    <t>Implied EV/NOV at the multiple above</t>
  </si>
  <si>
    <t>Comment</t>
  </si>
  <si>
    <t>SENSITIVITY ANALYSIS</t>
  </si>
  <si>
    <t>TABLE 1 — DCF value per share (INR): WACC (rows) vs terminal growth (columns)</t>
  </si>
  <si>
    <t>WACC \ g</t>
  </si>
  <si>
    <t>EBITDA \ x</t>
  </si>
  <si>
    <t>Current market price for reference (INR)</t>
  </si>
  <si>
    <t>SCENARIOS — bear / base / bull to FY2030E (self-contained cross-check on the main model)</t>
  </si>
  <si>
    <t>Driver</t>
  </si>
  <si>
    <t>Bear</t>
  </si>
  <si>
    <t>Base</t>
  </si>
  <si>
    <t>Bull</t>
  </si>
  <si>
    <t>ASSUMPTIONS (FY26A → FY30E)</t>
  </si>
  <si>
    <t>Blinkit NOV CAGR</t>
  </si>
  <si>
    <t>Mgmt guides 60%+ NOV CAGR over the next three years; bear assumes competition and slower store adds</t>
  </si>
  <si>
    <t>Blinkit FY30E Adj. EBITDA margin (% of NOV)</t>
  </si>
  <si>
    <t>Guided steady state 5-6%; bear assumes newer cities keep diluting the blend</t>
  </si>
  <si>
    <t>Food delivery NOV CAGR</t>
  </si>
  <si>
    <t>Long-term company expectation is 20%+ YoY</t>
  </si>
  <si>
    <t>Food delivery FY30E margin (% of NOV)</t>
  </si>
  <si>
    <t>Guided 5-6% range; Q4FY26 actual 5.5%</t>
  </si>
  <si>
    <t>District NOV CAGR</t>
  </si>
  <si>
    <t>$3bn NOV by FY30 guidance implies ~30%+</t>
  </si>
  <si>
    <t>District FY30E margin (% of NOV)</t>
  </si>
  <si>
    <t>Hyperpure revenue CAGR</t>
  </si>
  <si>
    <t>$1bn topline in ~3 years per mgmt</t>
  </si>
  <si>
    <t>Hyperpure FY30E margin (% of revenue)</t>
  </si>
  <si>
    <t>Others FY30E Adj. EBITDA (INR Cr)</t>
  </si>
  <si>
    <t>Blended exit EV/EBITDA (x)</t>
  </si>
  <si>
    <t>OUTPUT (FY2030E)</t>
  </si>
  <si>
    <t>Blinkit NOV</t>
  </si>
  <si>
    <t>Blinkit Adjusted EBITDA</t>
  </si>
  <si>
    <t>Food delivery NOV</t>
  </si>
  <si>
    <t>Food delivery Adjusted EBITDA</t>
  </si>
  <si>
    <t>District NOV</t>
  </si>
  <si>
    <t>District Adjusted EBITDA</t>
  </si>
  <si>
    <t>Hyperpure revenue</t>
  </si>
  <si>
    <t>Hyperpure Adjusted EBITDA</t>
  </si>
  <si>
    <t>Others Adjusted EBITDA</t>
  </si>
  <si>
    <t>TOTAL FY2030E ADJUSTED EBITDA</t>
  </si>
  <si>
    <t>Enterprise value (EBITDA × exit multiple)</t>
  </si>
  <si>
    <t>Upside / (downside) vs CMP</t>
  </si>
  <si>
    <t>RATIOS &amp; KPI DASHBOARD</t>
  </si>
  <si>
    <t>Metric</t>
  </si>
  <si>
    <t>GROWTH</t>
  </si>
  <si>
    <t>B2C NOV growth</t>
  </si>
  <si>
    <t>Adjusted revenue growth</t>
  </si>
  <si>
    <t>Adjusted EBITDA growth</t>
  </si>
  <si>
    <t>MARGINS &amp; RETURNS</t>
  </si>
  <si>
    <t>Adjusted EBITDA as % of B2C NOV</t>
  </si>
  <si>
    <t>PAT margin (% of adj. revenue)</t>
  </si>
  <si>
    <t>Return on equity (PAT / average equity)</t>
  </si>
  <si>
    <t>Return on capital employed (EBIT / avg. capital employed)</t>
  </si>
  <si>
    <t>UNIT ECONOMICS</t>
  </si>
  <si>
    <t>Blinkit NOV per store per day</t>
  </si>
  <si>
    <t>Blinkit Adjusted EBITDA per store</t>
  </si>
  <si>
    <t>Food delivery take rate (% of NOV)</t>
  </si>
  <si>
    <t>CASH &amp; CAPITAL INTENSITY</t>
  </si>
  <si>
    <t>Capex as % of adjusted revenue</t>
  </si>
  <si>
    <t>VALUATION AT CURRENT MARKET PRICE</t>
  </si>
  <si>
    <t>Market capitalisation</t>
  </si>
  <si>
    <t>Enterprise value (market cap − net cash)</t>
  </si>
  <si>
    <t>EV / FY2027E Adjusted EBITDA</t>
  </si>
  <si>
    <t>x</t>
  </si>
  <si>
    <t>EV / FY2030E Adjusted EBITDA</t>
  </si>
  <si>
    <t>P/E on FY2030E earnings</t>
  </si>
  <si>
    <t>DATA SOURCES &amp; COLLECTION LOG — every historical input in this model</t>
  </si>
  <si>
    <t>Category</t>
  </si>
  <si>
    <t>Data item</t>
  </si>
  <si>
    <t>Value used</t>
  </si>
  <si>
    <t>Document</t>
  </si>
  <si>
    <t>Location in document</t>
  </si>
  <si>
    <t>URL</t>
  </si>
  <si>
    <t>As of</t>
  </si>
  <si>
    <t>Model cell(s)</t>
  </si>
  <si>
    <t>Financials</t>
  </si>
  <si>
    <t>Revenue from operations FY26 / FY25</t>
  </si>
  <si>
    <t>INR 54,364 Cr / 20,243 Cr</t>
  </si>
  <si>
    <t>Eternal Q4FY26 audited consolidated financial results</t>
  </si>
  <si>
    <t>Statement of consolidated financial results, line I</t>
  </si>
  <si>
    <t>https://b.zmtcdn.com/investor-relations/Eternal_Shareholders_Letter_Q4FY26_Results.pdf</t>
  </si>
  <si>
    <t>IS (reference, model runs on Adjusted Revenue)</t>
  </si>
  <si>
    <t>Other income FY26 / FY25</t>
  </si>
  <si>
    <t>INR 1,396 Cr / 1,077 Cr</t>
  </si>
  <si>
    <t>Statement of consolidated financial results, line II</t>
  </si>
  <si>
    <t>D&amp;A FY26 / FY25</t>
  </si>
  <si>
    <t>INR 1,597 Cr / 863 Cr</t>
  </si>
  <si>
    <t>Expenses — depreciation and amortisation</t>
  </si>
  <si>
    <t>Finance costs FY26 / FY25</t>
  </si>
  <si>
    <t>INR 392 Cr / 154 Cr</t>
  </si>
  <si>
    <t>Expenses — finance costs (of which INR 367 Cr lease interest)</t>
  </si>
  <si>
    <t>PBT / tax / PAT FY26</t>
  </si>
  <si>
    <t>615 / 249 / 366 Cr</t>
  </si>
  <si>
    <t>Lines VII, VIII, IX</t>
  </si>
  <si>
    <t>Share-based payment expense FY26 / FY25</t>
  </si>
  <si>
    <t>INR 819 Cr / 798 Cr</t>
  </si>
  <si>
    <t>Eternal Q4FY26 consolidated statement of cash flows</t>
  </si>
  <si>
    <t>Adjustments to reconcile PBT</t>
  </si>
  <si>
    <t>Balance sheet</t>
  </si>
  <si>
    <t>Total assets / total equity FY26</t>
  </si>
  <si>
    <t>INR 40,736 Cr / 30,973 Cr</t>
  </si>
  <si>
    <t>Eternal Q4FY26 audited consolidated balance sheet</t>
  </si>
  <si>
    <t>Annexure E</t>
  </si>
  <si>
    <t>Lease liabilities FY26 (non-current + current)</t>
  </si>
  <si>
    <t>INR 3,833 + 759 = 4,592 Cr</t>
  </si>
  <si>
    <t>Food delivery NOV FY26 (Q1-Q4 sum)</t>
  </si>
  <si>
    <t>INR 37,993 Cr</t>
  </si>
  <si>
    <t>Eternal Q4FY26 shareholders' letter</t>
  </si>
  <si>
    <t>Annexure A — NOV (B2C business)</t>
  </si>
  <si>
    <t>Segment Model'!D5</t>
  </si>
  <si>
    <t>Quick commerce NOV FY26 / stores</t>
  </si>
  <si>
    <t>INR 48,568 Cr / 2,243 stores</t>
  </si>
  <si>
    <t>Annexure A — quick commerce financial and operating metrics</t>
  </si>
  <si>
    <t>Going-out NOV / revenue / Adj. EBITDA FY26</t>
  </si>
  <si>
    <t>9,399 / 973 / (319) Cr</t>
  </si>
  <si>
    <t>Annexure A — going-out metrics</t>
  </si>
  <si>
    <t>Segment Model'!D23:D26</t>
  </si>
  <si>
    <t>Hyperpure revenue / Adj. EBITDA FY26</t>
  </si>
  <si>
    <t>5,366 / (17) Cr</t>
  </si>
  <si>
    <t>Annexure A — B2B supplies metrics</t>
  </si>
  <si>
    <t>Segment Model'!D34:D36</t>
  </si>
  <si>
    <t>Consolidated Adjusted Revenue / Adj. EBITDA FY26</t>
  </si>
  <si>
    <t>INR 55,903 Cr / 1,189 Cr</t>
  </si>
  <si>
    <t>Annexure A &amp; B (reconciliation to reported P&amp;L)</t>
  </si>
  <si>
    <t>Segment Model'!D44:D45</t>
  </si>
  <si>
    <t>FY25 segment NOV / revenue / Adj. EBITDA (all four businesses)</t>
  </si>
  <si>
    <t>See Segment Model column C</t>
  </si>
  <si>
    <t>Eternal Q4FY25 shareholders' letter</t>
  </si>
  <si>
    <t>Annexure A — quarterly disclosures (Q4FY24-Q4FY25)</t>
  </si>
  <si>
    <t>https://b.zmtcdn.com/investor-relations/d9c290cd23764a09789769c39682276a_1746094084.pdf</t>
  </si>
  <si>
    <t>Segment Model'!C5:C41</t>
  </si>
  <si>
    <t>Cash flow</t>
  </si>
  <si>
    <t>FY26 cash bridge: treasury income 953, capex 1,746, NWC (1,228), closing cash 17,972</t>
  </si>
  <si>
    <t>See CFS column D</t>
  </si>
  <si>
    <t>Annexure A — cash (burn) / surplus bridge</t>
  </si>
  <si>
    <t>CFS!D6:D13</t>
  </si>
  <si>
    <t>Guidance</t>
  </si>
  <si>
    <t>$1bn Adjusted EBITDA by FY29; $20bn B2C NOV within two years</t>
  </si>
  <si>
    <t>Management ambition</t>
  </si>
  <si>
    <t>Eternal Q4FY26 shareholders' letter — letter from the founder</t>
  </si>
  <si>
    <t>Letter from the Founder'</t>
  </si>
  <si>
    <t>https://www.eternal.com/blog/q4fy26/</t>
  </si>
  <si>
    <t>Cross-checked on 'Segment Model'!47</t>
  </si>
  <si>
    <t>Blinkit 60%+ NOV CAGR for 3 years; 5-6% steady-state Adj. EBITDA margin on NOV</t>
  </si>
  <si>
    <t>Management guidance (CEO Albinder Dhindsa)</t>
  </si>
  <si>
    <t>Q2, Q3 and Q6 of the Q&amp;A</t>
  </si>
  <si>
    <t>Food delivery: 20%+ NOV growth long term, margins 5-6% of NOV</t>
  </si>
  <si>
    <t>Management guidance (CFO Akshant Goyal)</t>
  </si>
  <si>
    <t>Q1 and Q7 of the Q&amp;A</t>
  </si>
  <si>
    <t>District: $3bn NOV and $150mn Adjusted EBITDA by FY30</t>
  </si>
  <si>
    <t>Management guidance</t>
  </si>
  <si>
    <t>Q9 of the Q&amp;A</t>
  </si>
  <si>
    <t>Hyperpure: ~$1bn revenue in three years at 4-5% Adjusted EBITDA margin</t>
  </si>
  <si>
    <t>Eternal Q3FY26 shareholders' letter</t>
  </si>
  <si>
    <t>Q&amp;A on the Hyperpure business</t>
  </si>
  <si>
    <t>https://b.zmtcdn.com/investor-relations/Eternal_Shareholders_Letter_Q3FY26_Results.pdf</t>
  </si>
  <si>
    <t>Concall</t>
  </si>
  <si>
    <t>Q4FY26 earnings call transcript (mgmt commentary on 1P transition, competition, margins)</t>
  </si>
  <si>
    <t>Qualitative</t>
  </si>
  <si>
    <t>Eternal Q4FY26 earnings conference call transcript, 28-Apr-2026</t>
  </si>
  <si>
    <t>Full transcript filed with BSE/NSE</t>
  </si>
  <si>
    <t>https://b.zmtcdn.com/investor-relations/Q4FY26-earnings-call-transcript.pdf</t>
  </si>
  <si>
    <t>Narrative support for Assumptions column M</t>
  </si>
  <si>
    <t>Market data</t>
  </si>
  <si>
    <t>Risk-free rate (India 10-yr G-Sec)</t>
  </si>
  <si>
    <t>Market data — 10-yr G-Sec traded 6.74-6.82% in Jul-2026; Bank of Baroda expects 6.70-6.85% for the rest of Jul-26</t>
  </si>
  <si>
    <t>Third-party market data (not a company filing)</t>
  </si>
  <si>
    <t>https://tradingeconomics.com/india/government-bond-yield</t>
  </si>
  <si>
    <t>Share price / market capitalisation</t>
  </si>
  <si>
    <t>INR 281 per share</t>
  </si>
  <si>
    <t>NSE close INR 284.40 (22-Jul-2026), INR 280.90 (24-Jul-2026) via market data providers</t>
  </si>
  <si>
    <t>Third-party market data (not a company filing) — refresh before use</t>
  </si>
  <si>
    <t>NSE: ETERNAL / BSE: 543320</t>
  </si>
  <si>
    <t>Analyst input</t>
  </si>
  <si>
    <t>ERP 7.0%, beta 1.15, terminal growth 5.0%, segment exit multiples</t>
  </si>
  <si>
    <t>See Assumptions rows 44-62</t>
  </si>
  <si>
    <t>Analyst estimate — not sourced from company disclosure</t>
  </si>
  <si>
    <t>Judgement; sensitivity tested on the Sensitivity tab</t>
  </si>
  <si>
    <t>n/a</t>
  </si>
  <si>
    <t>TAB GUIDE</t>
  </si>
  <si>
    <t>SCHEDULE DRIVERS — structural inputs (feed FA / Lease / WC schedules)</t>
  </si>
  <si>
    <t>PPE depreciation rate (% of average net block)</t>
  </si>
  <si>
    <t>ROU depreciation rate (% of average ROU asset)</t>
  </si>
  <si>
    <t>Lease renewals / extensions (% of opening liability)</t>
  </si>
  <si>
    <t>Lease terminations (% of opening liability)</t>
  </si>
  <si>
    <t>Intangible amortisation (INR Cr, absolute)</t>
  </si>
  <si>
    <t>WORKING CAPITAL DRIVERS</t>
  </si>
  <si>
    <t>Days</t>
  </si>
  <si>
    <t>Inventory days (on cost of goods sold)</t>
  </si>
  <si>
    <t>Payable days (on cost of goods sold)</t>
  </si>
  <si>
    <t>COST STRUCTURE DRIVERS (reported P&amp;L waterfall)</t>
  </si>
  <si>
    <t>Hyperpure gross margin (% of revenue)</t>
  </si>
  <si>
    <t>FIXED ASSET SCHEDULE — PPE, right-of-use assets, intangibles, D&amp;A and capex (INR Cr)</t>
  </si>
  <si>
    <t>A. PROPERTY, PLANT &amp; EQUIPMENT (incl. CWIP)</t>
  </si>
  <si>
    <t>Opening net block</t>
  </si>
  <si>
    <t>Add: capital expenditure</t>
  </si>
  <si>
    <t>Less: depreciation on owned assets</t>
  </si>
  <si>
    <t>Closing net PPE + CWIP</t>
  </si>
  <si>
    <t xml:space="preserve">  Implied depreciation rate (% of average net block)</t>
  </si>
  <si>
    <t>B. RIGHT-OF-USE ASSETS (Ind AS 116)</t>
  </si>
  <si>
    <t>Opening ROU assets</t>
  </si>
  <si>
    <t>Add: new leases (dark stores, warehousing, offices)</t>
  </si>
  <si>
    <t>Add: renewals / extensions of existing leases</t>
  </si>
  <si>
    <t>Less: ROU depreciation</t>
  </si>
  <si>
    <t>Less: terminations / derecognition</t>
  </si>
  <si>
    <t>Closing ROU assets</t>
  </si>
  <si>
    <t>C. GOODWILL &amp; OTHER INTANGIBLES</t>
  </si>
  <si>
    <t>Opening balance</t>
  </si>
  <si>
    <t>Less: amortisation of intangibles</t>
  </si>
  <si>
    <t>Closing goodwill &amp; intangibles</t>
  </si>
  <si>
    <t>D. TOTAL DEPRECIATION &amp; AMORTISATION — feeds IS row 27</t>
  </si>
  <si>
    <t>Depreciation on owned assets</t>
  </si>
  <si>
    <t>ROU asset depreciation</t>
  </si>
  <si>
    <t>Amortisation of intangibles</t>
  </si>
  <si>
    <t>TOTAL D&amp;A</t>
  </si>
  <si>
    <t>Check: reported D&amp;A FY26A INR 1,597 Cr (1,291 depreciation + 306 amortisation)</t>
  </si>
  <si>
    <t>E. CAPEX SUMMARY — feeds CFS and DCF</t>
  </si>
  <si>
    <t>Other / maintenance / technology capex</t>
  </si>
  <si>
    <t>F. DETAIL ANALYSIS — capital intensity &amp; asset productivity</t>
  </si>
  <si>
    <t>ROU as % of total fixed assets (asset-light indicator)</t>
  </si>
  <si>
    <t>Capex / D&amp;A (growth vs replacement)</t>
  </si>
  <si>
    <t>READ-THROUGH</t>
  </si>
  <si>
    <t>2. Two-thirds of the fixed asset base is leased (right-of-use), not owned — so reported EBITDA flatters cash economics. The Adjusted EBITDA definition used throughout this model deducts cash lease rent, which is the correct basis for valuation.</t>
  </si>
  <si>
    <t>3. Capex/D&amp;A above 1.0x means the estate is still growing; the ratio falling toward 1.0x through the forecast is the signal that the store build is maturing and free cash flow inflects.</t>
  </si>
  <si>
    <t>Opening lease liability</t>
  </si>
  <si>
    <t>Add: interest accretion</t>
  </si>
  <si>
    <t>Add: new leases (from FA schedule)</t>
  </si>
  <si>
    <t>Less: lease payments (rent paid, incl. interest)</t>
  </si>
  <si>
    <t>Add / (less): other movements (derived)</t>
  </si>
  <si>
    <t>Closing lease liability</t>
  </si>
  <si>
    <t xml:space="preserve">  of which non-current</t>
  </si>
  <si>
    <t xml:space="preserve">  of which current</t>
  </si>
  <si>
    <t>Lease interest (P&amp;L finance cost)</t>
  </si>
  <si>
    <t>Lease principal repaid</t>
  </si>
  <si>
    <t>Total lease payment (cash rent) — feeds IS row 24</t>
  </si>
  <si>
    <t>Other finance costs (non-lease)</t>
  </si>
  <si>
    <t>TOTAL FINANCE COSTS — feeds IS row 28</t>
  </si>
  <si>
    <t>Cash rent as % of adjusted revenue</t>
  </si>
  <si>
    <t>Cash rent as % of B2C NOV</t>
  </si>
  <si>
    <t>INR lakh</t>
  </si>
  <si>
    <t>Lease liability / Adjusted EBITDA</t>
  </si>
  <si>
    <t>Net (cash) / debt including lease liabilities</t>
  </si>
  <si>
    <t>Net debt / Adjusted EBITDA</t>
  </si>
  <si>
    <t>Interest cover (Adjusted EBITDA / finance costs)</t>
  </si>
  <si>
    <t>Implied remaining lease life (closing liability / principal repaid)</t>
  </si>
  <si>
    <t>4. Because Adjusted EBITDA already deducts cash rent, the DCF does not additionally subtract the lease liability from enterprise value — doing both would double-count the obligation. See the note on DCF row 32.</t>
  </si>
  <si>
    <t>WORKING CAPITAL SCHEDULE — days, balances and the cash conversion cycle (INR Cr)</t>
  </si>
  <si>
    <t>A. DRIVERS</t>
  </si>
  <si>
    <t>Cost of goods sold (from Cost Structure)</t>
  </si>
  <si>
    <t>Receivable days</t>
  </si>
  <si>
    <t>Inventory days (on COGS)</t>
  </si>
  <si>
    <t>Payable days (on COGS)</t>
  </si>
  <si>
    <t>B. CURRENT ASSETS (ex-cash)</t>
  </si>
  <si>
    <t>Other current assets (incl. other financial assets)</t>
  </si>
  <si>
    <t>Total current assets (ex-cash)</t>
  </si>
  <si>
    <t>C. CURRENT LIABILITIES (ex-debt)</t>
  </si>
  <si>
    <t>Other current liabilities &amp; provisions</t>
  </si>
  <si>
    <t>Total current liabilities (ex-debt)</t>
  </si>
  <si>
    <t>D. NET WORKING CAPITAL</t>
  </si>
  <si>
    <t>Net working capital</t>
  </si>
  <si>
    <t>Increase / (decrease) in NWC — feeds CFS row 11 and DCF row 16</t>
  </si>
  <si>
    <t>An increase is a cash outflow. Company-disclosed FY26 NWC movement was an outflow of INR 1,228 Cr.</t>
  </si>
  <si>
    <t>COST STRUCTURE — reported P&amp;L expense waterfall and operating leverage (INR Cr)</t>
  </si>
  <si>
    <t>A. EXPENSE BUILD (INR Cr)</t>
  </si>
  <si>
    <t>Cost of goods sold (purchases + materials + inventory change)</t>
  </si>
  <si>
    <t>Forecast = quick commerce revenue x (1 − QC gross margin) + Hyperpure revenue x (1 − HP gross margin). Food delivery and going-out are commission businesses with no cost of goods.</t>
  </si>
  <si>
    <t>Delivery &amp; related charges</t>
  </si>
  <si>
    <t>Employee benefits expense (incl. share-based payment)</t>
  </si>
  <si>
    <t>Advertisement &amp; sales promotion</t>
  </si>
  <si>
    <t>Other expenses (incl. cash lease rent, tech, G&amp;A) — balancing</t>
  </si>
  <si>
    <t>TOTAL OPERATING EXPENSES</t>
  </si>
  <si>
    <t>Historical difference reflects reported revenue vs adjusted revenue (delivery charges and platform fees added back in the adjusted measure).</t>
  </si>
  <si>
    <t>Cost of goods sold</t>
  </si>
  <si>
    <t>Employee benefits</t>
  </si>
  <si>
    <t>Other expenses</t>
  </si>
  <si>
    <t>C. DETAIL ANALYSIS — gross margin &amp; operating leverage</t>
  </si>
  <si>
    <t>Gross margin</t>
  </si>
  <si>
    <t>Contribution after delivery costs</t>
  </si>
  <si>
    <t>Fixed-cost base (employee + advertising + other)</t>
  </si>
  <si>
    <t>Incremental EBITDA margin (ΔEBITDA / Δrevenue)</t>
  </si>
  <si>
    <t>The single most important operating-leverage statistic: how much of each incremental rupee of revenue drops to EBITDA.</t>
  </si>
  <si>
    <t>1. The FY26 cost structure is not comparable to FY25. Moving Blinkit to an inventory-led (1P) model pulled the full value of goods sold into both revenue and cost — COGS jumped from 26% to 54% of adjusted revenue with no change in underlying economics.</t>
  </si>
  <si>
    <t>2. Because of that, gross margin is now the number to watch, not EBITDA margin on revenue. Blinkit's gross profit ran at 26.9% of NOV in Q4FY26 (29% of segment revenue); private label, ad income and Hyperpure sourcing are the levers.</t>
  </si>
  <si>
    <t>3. Delivery &amp; related charges (16% of adjusted revenue) are the largest controllable cost. Batching, store density and shorter trip distances are what convert NOV growth into margin.</t>
  </si>
  <si>
    <t>4. The fixed-cost base (people, marketing, G&amp;A) is where operating leverage lives. Holding it roughly flat in rupee terms while NOV compounds 25-30% is the entire path to the $1bn Adjusted EBITDA ambition.</t>
  </si>
  <si>
    <t>5. Employee costs include share-based payment of INR 819 Cr in FY26 — real dilution, non-cash expense. Adjusted EBITDA adds it back; the DCF does not credit it as cash, and the share count should be watched for creep.</t>
  </si>
  <si>
    <t>E. DETAIL ANALYSIS — cash conversion cycle &amp; float</t>
  </si>
  <si>
    <t>Inventory days</t>
  </si>
  <si>
    <t>Add: receivable days</t>
  </si>
  <si>
    <t>Less: payable days</t>
  </si>
  <si>
    <t>CASH CONVERSION CYCLE</t>
  </si>
  <si>
    <t>1. FY26 is the structural break: inventories went from INR 176 Cr to INR 2,181 Cr as Blinkit took ownership of stock. That one-off is why the company's disclosed working capital outflow was INR 1,228 Cr for the year despite positive Adjusted EBITDA.</t>
  </si>
  <si>
    <t>FY26A 838 per Annexure B; forecast from Lease_Schedule row 24</t>
  </si>
  <si>
    <t>Forecast from WC_Schedule row 24 (change in net working capital); FY26A per the company's disclosed cash bridge</t>
  </si>
  <si>
    <t>Forecast from FA_Schedule (PPE roll-forward)</t>
  </si>
  <si>
    <t>Forecast from FA_Schedule (ROU roll-forward)</t>
  </si>
  <si>
    <t>Forecast from FA_Schedule (intangibles roll-forward)</t>
  </si>
  <si>
    <t>Forecast from WC_Schedule (inventory days on COGS)</t>
  </si>
  <si>
    <t>Forecast from WC_Schedule (receivable days)</t>
  </si>
  <si>
    <t>Forecast from Lease_Schedule (closing lease liability)</t>
  </si>
  <si>
    <t>Forecast from WC_Schedule (payable days on COGS)</t>
  </si>
  <si>
    <t>Forecast from WC_Schedule (other current liabilities)</t>
  </si>
  <si>
    <t>OPERATING METRICS — KPIs and unit economics by business</t>
  </si>
  <si>
    <t>A. QUICK COMMERCE (BLINKIT)</t>
  </si>
  <si>
    <t>Q4FY25 / Q4FY26 letters: 1,301 → 2,243 stores</t>
  </si>
  <si>
    <t>Net new stores added</t>
  </si>
  <si>
    <t>NOV per store per day</t>
  </si>
  <si>
    <t>NOV per store per year</t>
  </si>
  <si>
    <t>Adjusted EBITDA per store (on closing stores)</t>
  </si>
  <si>
    <t>Net average order value (NAOV)</t>
  </si>
  <si>
    <t>B. FOOD DELIVERY (ZOMATO)</t>
  </si>
  <si>
    <t>NOV</t>
  </si>
  <si>
    <t>Take rate (adjusted revenue % of NOV)</t>
  </si>
  <si>
    <t>C. GROUP</t>
  </si>
  <si>
    <t>B2C NOV</t>
  </si>
  <si>
    <t>US$ bn</t>
  </si>
  <si>
    <t>Quick commerce share of B2C NOV</t>
  </si>
  <si>
    <t>Adjusted revenue per employee-equivalent cost rupee</t>
  </si>
  <si>
    <t>1. Quick commerce overtook food delivery as the largest B2C business during FY26 and is ~51% of B2C NOV; by FY30E the model has it at over 60%. The equity story is now a quick-commerce story with a cash-generative food delivery business attached.</t>
  </si>
  <si>
    <t>3. Blinkit's monthly transacting customers doubled to 27.2 mn and have now passed food delivery's 25.4 mn. Cross-sell between the two apps is the cheapest customer acquisition channel in Indian consumer internet.</t>
  </si>
  <si>
    <t>4. Food delivery take rate expanded from 28.7% to 30.8% of NOV — platform fees and ad monetisation, not commission increases. This is what funds the 5-6% NOV margin guidance.</t>
  </si>
  <si>
    <t>5. Delivery partner count (409k, Blinkit alone) is the operational constraint and the regulatory risk: any gig-worker social security mandate lands directly on delivery cost per order.</t>
  </si>
  <si>
    <t>BETA CALCULATION — Eternal vs Nifty 500</t>
  </si>
  <si>
    <t>Systematic risk estimate feeding the CAPM cost of equity. Analyst input — not a company disclosure.</t>
  </si>
  <si>
    <t>A. REGRESSION METHODOLOGY</t>
  </si>
  <si>
    <t>Dependent variable (Y)</t>
  </si>
  <si>
    <t>Eternal weekly log returns</t>
  </si>
  <si>
    <t>NSE: ETERNAL (BSE: 543320)</t>
  </si>
  <si>
    <t>Independent variable (X)</t>
  </si>
  <si>
    <t>Nifty 500 weekly log returns</t>
  </si>
  <si>
    <t>Broad-market proxy for India</t>
  </si>
  <si>
    <t>Regression window</t>
  </si>
  <si>
    <t>Aug 2021 – Jul 2026 (listed history)</t>
  </si>
  <si>
    <t>Company listed 23-Jul-2021, so a full 5-year window is only now available</t>
  </si>
  <si>
    <t>Return frequency</t>
  </si>
  <si>
    <t>Weekly (Friday close to Friday close)</t>
  </si>
  <si>
    <t>Weekly reduces microstructure noise vs daily</t>
  </si>
  <si>
    <t>Estimation equation</t>
  </si>
  <si>
    <t>R_eternal = alpha + beta x R_nifty500 + e</t>
  </si>
  <si>
    <t>Beta is the slope coefficient</t>
  </si>
  <si>
    <t>Status</t>
  </si>
  <si>
    <t>Value</t>
  </si>
  <si>
    <t>Interpretation</t>
  </si>
  <si>
    <t>Raw beta</t>
  </si>
  <si>
    <t>Alpha (weekly)</t>
  </si>
  <si>
    <t>R-squared</t>
  </si>
  <si>
    <t>Standard error of beta</t>
  </si>
  <si>
    <t>Observations</t>
  </si>
  <si>
    <t>Annualised volatility — Eternal</t>
  </si>
  <si>
    <t>Annualised volatility — Nifty 500</t>
  </si>
  <si>
    <t>C. BLUME ADJUSTMENT</t>
  </si>
  <si>
    <t>Why adjust</t>
  </si>
  <si>
    <t>Betas mean-revert toward 1.0 as businesses mature; raw historical beta is a biased forecast of forward beta</t>
  </si>
  <si>
    <t>Formula</t>
  </si>
  <si>
    <t>0.67 x raw + 0.33 x 1.0</t>
  </si>
  <si>
    <t>Bloomberg's standard adjustment</t>
  </si>
  <si>
    <t>Adjusted beta</t>
  </si>
  <si>
    <t>Adjustment impact</t>
  </si>
  <si>
    <t>D. PEER BETA COMPARISON</t>
  </si>
  <si>
    <t>Market</t>
  </si>
  <si>
    <t>Note</t>
  </si>
  <si>
    <t>Eternal</t>
  </si>
  <si>
    <t>India</t>
  </si>
  <si>
    <t>vs Nifty 500, weekly, since listing</t>
  </si>
  <si>
    <t>Swiggy</t>
  </si>
  <si>
    <t>Shorter listed history (Nov-2024 IPO); higher beta, loss-making</t>
  </si>
  <si>
    <t>DoorDash</t>
  </si>
  <si>
    <t>US</t>
  </si>
  <si>
    <t>vs S&amp;P 500; closest global analogue on delivery logistics</t>
  </si>
  <si>
    <t>Delivery Hero</t>
  </si>
  <si>
    <t>Germany</t>
  </si>
  <si>
    <t>vs DAX; emerging-market exposure, q-commerce operator</t>
  </si>
  <si>
    <t>Meituan</t>
  </si>
  <si>
    <t>China / HK</t>
  </si>
  <si>
    <t>vs HSI; the scaled precedent for food delivery plus instant retail</t>
  </si>
  <si>
    <t>Peer average (ex-Eternal)</t>
  </si>
  <si>
    <t>Eternal sits slightly below the peer average — profitable, net cash</t>
  </si>
  <si>
    <t>→ Beta selected for WACC</t>
  </si>
  <si>
    <t>E. WHY IT MATTERS</t>
  </si>
  <si>
    <t>1. Every 0.10 of beta moves the cost of equity by ~70bps at a 7% ERP, and at this duration that is worth roughly 8-10% of the DCF value. The beta assumption deserves as much scrutiny as the margin forecast.</t>
  </si>
  <si>
    <t>2. Beta captures market risk only. The dominant risks here — quick-commerce price competition, gig-worker regulation, and the pace of Blinkit's margin ramp — are stock-specific and show up in the R-squared of 0.34, not in beta.</t>
  </si>
  <si>
    <t>3. Peer betas are the sanity check: if a live regression returns something below 1.0 for a stock this volatile, the regression window or the index proxy is likely wrong.</t>
  </si>
  <si>
    <t>4. Test the sensitivity: the WACC x terminal growth grid on the Sensitivity tab spans WACC of 12.9% to 15.9%, which is roughly beta 1.0 to 1.5 at the current Rf and ERP.</t>
  </si>
  <si>
    <t>ERP, RISK-FREE RATE &amp; WACC BUILD-UP</t>
  </si>
  <si>
    <t>A. COST OF EQUITY (CAPM)</t>
  </si>
  <si>
    <t>India 10-yr G-Sec ~6.74-6.82% in Jul-2026; Bank of Baroda expects 6.70-6.85% through the rest of the month. Market data, not a company filing.</t>
  </si>
  <si>
    <t>Beta (adjusted)</t>
  </si>
  <si>
    <t>Rf + beta x ERP</t>
  </si>
  <si>
    <t>B. COST OF DEBT</t>
  </si>
  <si>
    <t>Bank borrowings</t>
  </si>
  <si>
    <t>Nil — no borrowings on the audited FY26 balance sheet</t>
  </si>
  <si>
    <t>Lease liabilities (economic debt)</t>
  </si>
  <si>
    <t>Ind AS 116 liability at 31-Mar-2026</t>
  </si>
  <si>
    <t>Pre-tax cost of debt (lease implicit rate)</t>
  </si>
  <si>
    <t>Incremental borrowing rate used to discount lease obligations</t>
  </si>
  <si>
    <t>Marginal tax rate</t>
  </si>
  <si>
    <t>Indian corporate tax under the concessional regime (22% + surcharge &amp; cess)</t>
  </si>
  <si>
    <t>C. CAPITAL STRUCTURE</t>
  </si>
  <si>
    <t>919 crore shares x market price</t>
  </si>
  <si>
    <t>Total debt (bank + leases)</t>
  </si>
  <si>
    <t>Equity weight (market-based)</t>
  </si>
  <si>
    <t>Debt weight (market-based)</t>
  </si>
  <si>
    <t>D. WACC</t>
  </si>
  <si>
    <t>WACC (market weights)</t>
  </si>
  <si>
    <t>E. IMPLIED HURDLES</t>
  </si>
  <si>
    <t>Terminal growth rate assumed</t>
  </si>
  <si>
    <t>WACC minus g (terminal capitalisation spread)</t>
  </si>
  <si>
    <t>A narrow spread makes terminal value hypersensitive; at 9.4pp the terminal multiple is ~10.6x terminal FCFF</t>
  </si>
  <si>
    <t>Implied terminal FCFF multiple</t>
  </si>
  <si>
    <t>Real cost of equity (at 4.5% long-run inflation)</t>
  </si>
  <si>
    <t>1. With effectively no debt, WACC is cost of equity. There is no leverage lever to lower the discount rate — the only way this business earns its cost of capital is operationally.</t>
  </si>
  <si>
    <t>2. Rf is doing a lot of work: India's 10-year yield moved from ~6.68% to ~7.1% inside FY26. A 50bps move in Rf is worth roughly 6-8% of the DCF value here.</t>
  </si>
  <si>
    <t>3. The lease liability is treated as economic debt for the capital structure but is NOT deducted from enterprise value in the DCF, because Adjusted EBITDA is already struck after cash rent.</t>
  </si>
  <si>
    <t>4. Rf and ERP are market/analyst inputs, not company disclosures — they are logged as such on the Data_Sources tab and should be refreshed before the model is used for a live decision.</t>
  </si>
  <si>
    <t>COMPARABLE COMPANY ANALYSIS — food delivery &amp; instant commerce platforms</t>
  </si>
  <si>
    <t>Reporting currency</t>
  </si>
  <si>
    <t>VALUATION</t>
  </si>
  <si>
    <t>ETERNAL LIMITED — MASTER FINANCIAL MODEL</t>
  </si>
  <si>
    <t>Food delivery (Zomato) · Quick commerce (Blinkit) · Going-out (District) · B2B supplies (Hyperpure)  |  NSE: ETERNAL  |  FY2025A–FY2026A actuals, FY2027E–FY2034E forecast</t>
  </si>
  <si>
    <t>KEY MODEL OUTPUTS</t>
  </si>
  <si>
    <t>B2C Net Order Value</t>
  </si>
  <si>
    <t>Profit after tax</t>
  </si>
  <si>
    <t>SOTP value / share (discounted to today)</t>
  </si>
  <si>
    <t>Scenario range (bear / base / bull)</t>
  </si>
  <si>
    <t>Current market price</t>
  </si>
  <si>
    <t>Upside / (downside) on DCF</t>
  </si>
  <si>
    <t>SHEET NAVIGATION</t>
  </si>
  <si>
    <t>What it does</t>
  </si>
  <si>
    <t>Key contents</t>
  </si>
  <si>
    <t>── FOUNDATION</t>
  </si>
  <si>
    <t xml:space="preserve">  Assumptions</t>
  </si>
  <si>
    <t>→</t>
  </si>
  <si>
    <t>Every input in one place</t>
  </si>
  <si>
    <t>Segment drivers, corporate P&amp;L drivers, capex, WACC, schedule drivers; source for each in column M</t>
  </si>
  <si>
    <t>Bottom-up build of all five segments</t>
  </si>
  <si>
    <t>NOV, adjusted revenue, Adjusted EBITDA; Blinkit built from stores x NOV per store per day</t>
  </si>
  <si>
    <t>── STATEMENTS &amp; SCHEDULES</t>
  </si>
  <si>
    <t xml:space="preserve">  IS</t>
  </si>
  <si>
    <t>P&amp;L and the bridge to reported PAT</t>
  </si>
  <si>
    <t xml:space="preserve">  FA_Schedule</t>
  </si>
  <si>
    <t>Fixed assets and D&amp;A</t>
  </si>
  <si>
    <t>PPE, right-of-use and intangible roll-forwards; total D&amp;A; capex; capital-intensity analysis</t>
  </si>
  <si>
    <t xml:space="preserve">  Lease_Schedule</t>
  </si>
  <si>
    <t>Debt and lease liabilities</t>
  </si>
  <si>
    <t>Nil bank debt, lease liability roll-forward, finance costs, leverage, interest cover, rent analysis</t>
  </si>
  <si>
    <t xml:space="preserve">  WC_Schedule</t>
  </si>
  <si>
    <t>Working capital</t>
  </si>
  <si>
    <t>Receivable / inventory / payable days, balances, net WC, cash conversion cycle</t>
  </si>
  <si>
    <t>Reported expense waterfall</t>
  </si>
  <si>
    <t>COGS, delivery, employee, marketing, other; gross margin, contribution, operating leverage</t>
  </si>
  <si>
    <t xml:space="preserve">  BS</t>
  </si>
  <si>
    <t>Condensed balance sheet</t>
  </si>
  <si>
    <t xml:space="preserve">  CFS</t>
  </si>
  <si>
    <t>Cash / treasury bridge</t>
  </si>
  <si>
    <t>The company's own bridge format: EBITDA, treasury income, capex, working capital, closing cash</t>
  </si>
  <si>
    <t>── ANALYSIS</t>
  </si>
  <si>
    <t xml:space="preserve">  OpMetrics</t>
  </si>
  <si>
    <t>Operating KPIs and unit economics</t>
  </si>
  <si>
    <t>Stores, NOV per store per day, orders, NAOV, transacting customers, take rates</t>
  </si>
  <si>
    <t xml:space="preserve">  Ratios</t>
  </si>
  <si>
    <t>Ratio dashboard</t>
  </si>
  <si>
    <t>Growth, margins, returns, capital intensity, valuation at the current market price</t>
  </si>
  <si>
    <t>── VALUATION</t>
  </si>
  <si>
    <t xml:space="preserve">  DCF</t>
  </si>
  <si>
    <t>8-year FCFF valuation</t>
  </si>
  <si>
    <t>WACC build-up, FCFF on a cash-rent basis, terminal value, intrinsic value per share</t>
  </si>
  <si>
    <t xml:space="preserve">  SOTP</t>
  </si>
  <si>
    <t xml:space="preserve">  Sensitivity</t>
  </si>
  <si>
    <t xml:space="preserve">  Scenarios</t>
  </si>
  <si>
    <t>Bear / base / bull</t>
  </si>
  <si>
    <t>Segment-level NOV CAGR and margin assumptions run to FY2030E</t>
  </si>
  <si>
    <t>── REFERENCE</t>
  </si>
  <si>
    <t xml:space="preserve">  Beta Calc</t>
  </si>
  <si>
    <t>Systematic risk</t>
  </si>
  <si>
    <t xml:space="preserve">  ERP &amp; Rf</t>
  </si>
  <si>
    <t>WACC from first principles</t>
  </si>
  <si>
    <t>Rf, ERP, CAPM, capital structure, terminal capitalisation spread</t>
  </si>
  <si>
    <t xml:space="preserve">  Comparable</t>
  </si>
  <si>
    <t xml:space="preserve">  Data_Sources</t>
  </si>
  <si>
    <t>Every historical input, cited</t>
  </si>
  <si>
    <t>Document, location, URL and target model cell for each figure</t>
  </si>
  <si>
    <t xml:space="preserve">  Cover</t>
  </si>
  <si>
    <t>MODEL FLOW</t>
  </si>
  <si>
    <t xml:space="preserve">     └─ FA_Schedule (D&amp;A, capex) and Lease_Schedule (finance costs, cash rent) feed the IS</t>
  </si>
  <si>
    <t xml:space="preserve">     └─ WC_Schedule feeds the CFS working-capital line and the balance sheet</t>
  </si>
  <si>
    <t xml:space="preserve">     └─ CFS → closing treasury → next year's other income (opening balance used, so no circular reference)</t>
  </si>
  <si>
    <t>COLOUR CONVENTION</t>
  </si>
  <si>
    <t>Schedules</t>
  </si>
  <si>
    <t>Depreciation on PPE &amp; ROU FY26 (INR 1,291 Cr) and amortisation of intangibles (INR 306 Cr)</t>
  </si>
  <si>
    <t>Split 593 owned / 698 ROU / 306 intangible</t>
  </si>
  <si>
    <t>Adjustments to reconcile profit before tax; owned/ROU split derived from the PPE roll-forward</t>
  </si>
  <si>
    <t>FA_Schedule!D7, D15, D21</t>
  </si>
  <si>
    <t>Interest expense on lease liabilities FY26 / FY25</t>
  </si>
  <si>
    <t>INR 367 Cr / 147 Cr</t>
  </si>
  <si>
    <t>Adjustments to reconcile profit before tax</t>
  </si>
  <si>
    <t>Lease_Schedule!C22:D22</t>
  </si>
  <si>
    <t>PPE, CWIP, ROU, goodwill, intangibles, inventories, receivables, payables, lease liabilities</t>
  </si>
  <si>
    <t>See BS / FA / WC / Lease schedules, columns C-D</t>
  </si>
  <si>
    <t>Eternal Q4FY25 and Q4FY26 audited consolidated balance sheets</t>
  </si>
  <si>
    <t>FA_Schedule, WC_Schedule, Lease_Schedule, BS</t>
  </si>
  <si>
    <t>Reported expense lines FY26: purchases 32,115, materials 54, inventory change (2,002), delivery 9,065, employee 3,536, ad &amp; promo 3,350, other 7,038</t>
  </si>
  <si>
    <t>See Cost Structure column D</t>
  </si>
  <si>
    <t>Eternal Q4FY26 audited consolidated P&amp;L</t>
  </si>
  <si>
    <t>Annexure D — expenses</t>
  </si>
  <si>
    <t>Cost Structure'!C6:D10</t>
  </si>
  <si>
    <t>Operating</t>
  </si>
  <si>
    <t>Blinkit orders, NAOV, transacting customers, delivery partners, NOV per store per day; food delivery customers and restaurant partners</t>
  </si>
  <si>
    <t>See OpMetrics columns C-D</t>
  </si>
  <si>
    <t>Eternal Q4FY25 and Q4FY26 shareholders' letters</t>
  </si>
  <si>
    <t>Annexure A — operating metrics (quarterly figures)</t>
  </si>
  <si>
    <t>OpMetrics!C5:D20</t>
  </si>
  <si>
    <t>Beta regression output (raw 1.22, R² 0.34), peer betas, depreciation rates, lease term assumptions, working capital days, gross margins</t>
  </si>
  <si>
    <t>See Beta Calc and Assumptions rows 64-86</t>
  </si>
  <si>
    <t>Analyst estimate — NOT company disclosure</t>
  </si>
  <si>
    <t>Beta must be re-run on NSE price history; peer betas are estimates pending filing-based recalculation</t>
  </si>
  <si>
    <t>Peer data</t>
  </si>
  <si>
    <t>Comparable company financials (Swiggy, DoorDash, Delivery Hero, Meituan, Instacart)</t>
  </si>
  <si>
    <t>Comparable!C10:G31</t>
  </si>
  <si>
    <t>USD mn</t>
  </si>
  <si>
    <t>EUR mn</t>
  </si>
  <si>
    <t>RMB mn</t>
  </si>
  <si>
    <t>POPULATED from each company's own filings / IR disclosures (25-Jul-2026)</t>
  </si>
  <si>
    <t>Swiggy Q4FY26 Shareholders' Letter; DoorDash Q4/FY25 8-K Ex-99.1 (SEC EDGAR); Delivery Hero FY25 trading update + audited FY25 results release; Meituan FY25 results announcement (HKEX); Instacart Q4'25 Shareholder Letter</t>
  </si>
  <si>
    <t>See individual cell comments on Comparable!C6:G33 for the exact document URL</t>
  </si>
  <si>
    <t>FY2023A</t>
  </si>
  <si>
    <t>FY2024A</t>
  </si>
  <si>
    <t>FY24 segment adj. revenue / adj. EBITDA / GOV</t>
  </si>
  <si>
    <t>Adj. rev 13,545 Cr; adj. EBITDA 372 Cr; B2C GOV 47,918 Cr</t>
  </si>
  <si>
    <t>Zomato Q4FY24 shareholders' letter</t>
  </si>
  <si>
    <t>Annexure A — quarterly disclosures (tables are images; read by OCR and reconciled: quarters sum to the FY column and segments sum to the consolidated total)</t>
  </si>
  <si>
    <t>https://b.zmtcdn.com/investor-relations/475179f950da18319c26051c3cfc7e5c_1715593232.pdf</t>
  </si>
  <si>
    <t>FY23 segment adj. revenue / adj. EBITDA / GOV</t>
  </si>
  <si>
    <t>Adj. rev 8,693 Cr; adj. EBITDA (783) Cr; FD GOV 26,305 Cr</t>
  </si>
  <si>
    <t>Zomato Q4FY23 shareholders' letter</t>
  </si>
  <si>
    <t>Annexure A — reported in INR bn; converted to INR Cr (x100). Reconciled: quarters sum to FY column and segments sum to consolidated total</t>
  </si>
  <si>
    <t>https://b.zmtcdn.com/investor-relations/4dbd068492199a12eee4cd3ffca15fe4_1684493677.pdf</t>
  </si>
  <si>
    <t>Caveat</t>
  </si>
  <si>
    <t>Comparability breaks across FY22-FY24 vs FY25-FY26</t>
  </si>
  <si>
    <t>GOV vs NOV; going-out segment; Blinkit part-year; adj. revenue definition</t>
  </si>
  <si>
    <t>Zomato/Eternal shareholders' letters and segment notes</t>
  </si>
  <si>
    <t>(1) FY22-FY24 order value is GOV; Eternal moved to NOV from Q1FY26 — rows 5/16/23/30 are therefore not comparable across the C:E vs F:O boundary, and no growth formula has been placed at that junction. (2) Going-out became a reportable segment only from 1-Jul-2023, so it sits inside 'Others' in FY23. (3) Blinkit consolidated from 10-Aug-22, so FY23 quick commerce adj. revenue/EBITDA are part-year while its GOV line is full-year. (4) Adjusted revenue was redefined in Q4FY24 to include the full customer platform fee.</t>
  </si>
  <si>
    <t>https://b.zmtcdn.com/investor-relations/c72738215e5097cb9c63efb8212cb5b0_1722760667.pdf</t>
  </si>
  <si>
    <t>Segment Model!E5:E47</t>
  </si>
  <si>
    <t>Segment Model!D5:D47</t>
  </si>
  <si>
    <t>Segment Model!C1:E47</t>
  </si>
  <si>
    <t>A.  OPERATING ASSUMPTIONS — segment drivers, reported cost waterfall and corporate P&amp;L</t>
  </si>
  <si>
    <t>B.  WORKING CAPITAL &amp; CAPEX ASSUMPTIONS</t>
  </si>
  <si>
    <t>C.  SCHEDULE / STRUCTURAL ASSUMPTIONS — feed the FA, Lease and WC schedules</t>
  </si>
  <si>
    <t>D.  VALUATION ASSUMPTIONS — WACC build-up, share count and exit multiples</t>
  </si>
  <si>
    <t>Assumptions!F40:G40</t>
  </si>
  <si>
    <t>Assumptions!E12:L17</t>
  </si>
  <si>
    <t>Assumptions!E7:L9</t>
  </si>
  <si>
    <t>Assumptions!E20:L22</t>
  </si>
  <si>
    <t>Assumptions!E25:L26</t>
  </si>
  <si>
    <t>Assumptions!B77</t>
  </si>
  <si>
    <t>Assumptions!B86</t>
  </si>
  <si>
    <t>Assumptions!B78:B94</t>
  </si>
  <si>
    <t>Revenue Schedule!G16, Assumptions!G13</t>
  </si>
  <si>
    <t>Beta Calc!B13:B19, Assumptions!B65:B72 and D33:O37</t>
  </si>
  <si>
    <t>Orders</t>
  </si>
  <si>
    <t>Blinkit net average order value (NAOV) and implied orders — now the primary quick-commerce volume driver</t>
  </si>
  <si>
    <t>NAOV: 522 / 617 / 520 / 525 (FY23A-FY26A)</t>
  </si>
  <si>
    <t>Zomato Q4FY24 and Eternal Q4FY25 / Q4FY26 shareholders' letters</t>
  </si>
  <si>
    <t>Annexure A — quick commerce operating metrics. FY23/FY24 figures are GROSS AOV on the GOV basis; FY25/FY26 are NET AOV on the NOV basis, so the two halves are not comparable. The Assumptions NAOV row links to OpMetrics row 11, where each cell carries its own source comment.</t>
  </si>
  <si>
    <t>Orders growth</t>
  </si>
  <si>
    <t>Net AOV growth</t>
  </si>
  <si>
    <t>https://www.eternal.com/investor-relations/results/</t>
  </si>
  <si>
    <t>Operating — RESOLVED</t>
  </si>
  <si>
    <t>Food delivery orders and net AOV — orders x AOV decomposition</t>
  </si>
  <si>
    <t>Orders (mn): FY23 647.0, FY24 753.2, FY25 852.8, FY26 979.3. Net AOV derived: 348 / 365 / 385 / 388</t>
  </si>
  <si>
    <t>Eternal quarterly KPI databook, sheet 'B. Annual data', section 2) Food delivery</t>
  </si>
  <si>
    <t>Rows 'Orders (million)' and 'Net AOV (INR)', FY23-FY26 columns. Databook supplied by user upload after the IR site could not be scraped (JavaScript-rendered pages, image-only PDFs). Orders are entered as the official input; net AOV is derived as NOV x 10 / orders so it always ties to the NOV line. The derived net AOV reproduces the databook's own disclosed net AOV of 365 / 385 / 388 for FY24-FY26 exactly, which validates the wiring. FY23 net AOV (348) is derived because the databook does not disclose FY23 net AOV — NOV was only published from FY24.</t>
  </si>
  <si>
    <t>Operating — CORRECTION</t>
  </si>
  <si>
    <t>Quick commerce orders, net AOV and NOV per day per store — moved onto the official annual basis</t>
  </si>
  <si>
    <t>Eternal quarterly KPI databook, sheet 'B. Annual data', section 3) Quick commerce</t>
  </si>
  <si>
    <t>CR.</t>
  </si>
  <si>
    <t>% change in orders</t>
  </si>
  <si>
    <t xml:space="preserve"> % of Orders</t>
  </si>
  <si>
    <t>Revenue from operations (reported, Ind AS)</t>
  </si>
  <si>
    <t>NOV TO ADJUSTED REVENUE BRIDGE</t>
  </si>
  <si>
    <t xml:space="preserve">  × Take rate (% of NOV)</t>
  </si>
  <si>
    <t xml:space="preserve">  = Food delivery adjusted revenue</t>
  </si>
  <si>
    <t>Quick commerce NOV</t>
  </si>
  <si>
    <t xml:space="preserve">  = Quick commerce adjusted revenue</t>
  </si>
  <si>
    <t>Going-out NOV</t>
  </si>
  <si>
    <t xml:space="preserve">  = Going-out adjusted revenue</t>
  </si>
  <si>
    <t xml:space="preserve">  × Blended B2C take rate (% of NOV)</t>
  </si>
  <si>
    <t xml:space="preserve">  = B2C adjusted revenue</t>
  </si>
  <si>
    <t>Add: B2B supplies (Hyperpure) — no NOV, revenue recognised gross</t>
  </si>
  <si>
    <t>Add: Others (incl. Bistro) — no NOV</t>
  </si>
  <si>
    <t xml:space="preserve">  Check vs consolidated total below (must be nil)</t>
  </si>
  <si>
    <t>SEGMENT MODEL — NOV and Adjusted Revenue by business (INR Cr)</t>
  </si>
  <si>
    <t>Orders as disclosed (mn): FY24 203.3, FY25 423.7, FY26 916.6 — restated to crore in the model: 20.33 / 42.37 / 91.66. Net AOV derived: 613 / 528 / 530. NOV per day per store: 672 / 766 / 756</t>
  </si>
  <si>
    <t>Supersedes the Q4-annualised proxies previously used. Net AOV was linked to OpMetrics row 11 (Q4 exit-rate readings of 520 / 525) and is now derived as order value divided by official orders, which reproduces the databook's disclosed 613 (FY24 gross AOV on the GOV basis) / 528 / 530 exactly. Note the databook publishes orders in millions; the model states them in crore (divide by 10) so that quick commerce matches the food delivery orders convention, and the net AOV derivation is order value in Cr divided by orders in Cr with no scaling factor. NOV per day per store was 757 / 736 / 768; the databook full-year averages are 672 / 766 / 756. Per databook note 3 these use a store-days denominator (stores operational each day), so they do not reconcile to NOV divided by the opening/closing average store count — that difference is documented in the cell notes. FY23 is not covered: the databook's quick commerce series starts at FY24 because Blinkit was consolidated only from 10-Aug-22, so FY23 net AOV remains the Q4FY23 gross-AOV proxy with its existing caution.</t>
  </si>
  <si>
    <t>Customer delivery charges (% of B2C NOV)</t>
  </si>
  <si>
    <t xml:space="preserve">  Memo: Gross Order Value (GOV) — FY23/FY24 disclosure basis</t>
  </si>
  <si>
    <t xml:space="preserve">  Restaurant business revenue</t>
  </si>
  <si>
    <t xml:space="preserve">  Non-restaurant business revenue (B2B sales to Blinkit sellers)</t>
  </si>
  <si>
    <t>Quick commerce adjusted revenue. FY23 806 (part year from 10-Aug-22; nil + 1.42 + 3.01 + 3.63 INR bn), FY24 2,302 (384 + 505 + 644 + 769), FY25 5,206 (942 + 1,156 + 1,399 + 1,709) — all on the marketplace/commission model. FY26 37,779 (2,400 + 9,891 + 12,256 + 13,232); the step-up reflects the shift to an inventory-led (1P) model from Q1FY26, where revenue captures the full value of goods sold. Source: Zomato Q4FY23 and Q4FY24, Eternal Q4FY25 and Q4FY26 Shareholders' Letters, Annexure A.</t>
  </si>
  <si>
    <t>Going-out order value. FY23 n.a. — going-out was not a separate reportable segment until 1-Jul-2023 (identified from Q2FY24); in FY23 it sat within 'All other segments' and is therefore inside the Others line below. FY24 3,225 is GOV, NOT NOV (616 + 682 + 858 + 1,069; cross-check: B2C GOV 47,918 less food delivery 32,224 less quick commerce 12,469) — Eternal has never published FY24 going-out NOV, so this row is mixed-basis at the FY24/FY25 boundary. FY25 6,619 (1,031 + 1,562 + 2,158 + 1,868) and FY26 9,399 (2,013 + 2,063 + 2,587 + 2,736) are NOV. Source: Zomato Q4FY24, Eternal Q4FY25 and Q4FY26 Shareholders' Letters, Annexure A.</t>
  </si>
  <si>
    <t>Going-out adjusted revenue. FY24 257 (42 + 49 + 73 + 93), FY25 747 (95 + 164 + 259 + 229), FY26 973 (207 + 189 + 300 + 277). Source: Zomato Q4FY24, Eternal Q4FY25 and Q4FY26 Shareholders' Letters, Annexure A.</t>
  </si>
  <si>
    <t>Hyperpure adjusted revenue. FY23 1,506 (2.73 + 3.34 + 4.21 + 4.78 INR bn), FY24 3,172 (617 + 745 + 859 + 951), FY25 6,196 (1,212 + 1,473 + 1,671 + 1,840), FY26 5,366 (2,295 + 1,023 + 1,070 + 978) — the FY26 decline comes from inventory-led quick commerce sourcing now being reported inside Blinkit. Source: Zomato Q4FY23 and Q4FY24, Eternal Q4FY25 and Q4FY26 Shareholders' Letters, Annexure A.</t>
  </si>
  <si>
    <t>Others' adjusted revenue. FY23 234 (0.67 + 0.49 + 0.75 + 0.43 INR bn) — NOT comparable with later years, because FY23 'Others' still includes the going-out / dining-out business, which became a separate reportable segment only from 1-Jul-2023. FY24 22 (1 + 5 + 8 + 10), FY25 30 (15 + 4 + 4 + 7), FY26 87 (residual of disclosed consolidated adjusted revenue of 55,903 less the four reported segments). Source: Zomato Q4FY23 and Q4FY24, Eternal Q4FY25 and Q4FY26 Shareholders' Letters, Annexure A.</t>
  </si>
  <si>
    <t>The step-change here is the whole story of FY26. Blinkit's take rate runs at 14-23% while it operates as a marketplace earning commission, then jumps to c.78% in FY26 when the inventory-led (1P) model means the full value of goods sold is recognised as revenue rather than just the commission. NOV grew 117% in FY26; adjusted revenue grew 626%. Almost all of that gap is accounting basis, not trading performance — read the two together, never revenue alone. FY23 and FY24 order value is on the NOV basis, so the denominator is consistent throughout.</t>
  </si>
  <si>
    <t>Going-out was not a separate reportable segment in FY23 — it sat inside 'Others' — so FY23 shows n.a. rather than nil. The B2C NOV line below uses SUM, which ignores text, so the FY23 B2C total correctly excludes going-out.</t>
  </si>
  <si>
    <t>Cross-check against disclosure: FY23 8,693, FY24 13,545, FY25 21,597 and FY26 55,903 all tie to Eternal's disclosed consolidated adjusted revenue (sum of quarterly figures; FY25 reported as 21,581 in the AGM commentary, the difference being rounding of quarterly disclosures).</t>
  </si>
  <si>
    <t>RECONCILIATION / PLUG DRIVERS (nil unless flexed)</t>
  </si>
  <si>
    <t xml:space="preserve">  Other lease liability movements</t>
  </si>
  <si>
    <t xml:space="preserve">  Other items in cash bridge (CFS)</t>
  </si>
  <si>
    <t>A.  CASH FLOW FROM OPERATING ACTIVITIES</t>
  </si>
  <si>
    <t xml:space="preserve">  Revenue from operations (reported, Ind AS) — memo</t>
  </si>
  <si>
    <t xml:space="preserve">  Less: Tax paid</t>
  </si>
  <si>
    <t xml:space="preserve">  Less: (Increase) / decrease in net working capital</t>
  </si>
  <si>
    <t xml:space="preserve">  Add / (less): Other operating items</t>
  </si>
  <si>
    <t xml:space="preserve">  NET CASH FROM OPERATING ACTIVITIES</t>
  </si>
  <si>
    <t>B.  CASH FLOW FROM INVESTING ACTIVITIES</t>
  </si>
  <si>
    <t xml:space="preserve">  Purchase of PPE &amp; intangibles (capital expenditure)</t>
  </si>
  <si>
    <t xml:space="preserve">  Treasury income received</t>
  </si>
  <si>
    <t xml:space="preserve">  NET CASH USED IN INVESTING ACTIVITIES</t>
  </si>
  <si>
    <t>C.  CASH FLOW FROM FINANCING ACTIVITIES</t>
  </si>
  <si>
    <t xml:space="preserve">  Repayment of lease liabilities — principal</t>
  </si>
  <si>
    <t xml:space="preserve">  Net bank borrowings / (repayment)</t>
  </si>
  <si>
    <t xml:space="preserve">  NET CASH FROM FINANCING ACTIVITIES</t>
  </si>
  <si>
    <t>NET INCREASE / (DECREASE) IN CASH</t>
  </si>
  <si>
    <t xml:space="preserve">  Opening cash &amp; treasury investments</t>
  </si>
  <si>
    <t>CLOSING CASH &amp; TREASURY INVESTMENTS</t>
  </si>
  <si>
    <t xml:space="preserve">  Memo: difference vs BS cash &amp; treasury line</t>
  </si>
  <si>
    <t xml:space="preserve">  Memo: free cash flow (CFO less capex)</t>
  </si>
  <si>
    <t>Net fixed assets (PPE + ROU) as % of revenue</t>
  </si>
  <si>
    <t>Capex as % of revenue from operations</t>
  </si>
  <si>
    <t>D&amp;A as % of revenue from operations</t>
  </si>
  <si>
    <t>Fixed asset turns (revenue from operations / closing PPE + ROU)</t>
  </si>
  <si>
    <t>EBITDA (reported) / D&amp;A (depreciation cover)</t>
  </si>
  <si>
    <t>1. The business is capital-light at group level but the quick-commerce build is not: FY26A capex of INR 1,746 Cr was 3.2% of revenue from operations, and roughly INR 1,700 Cr of it went into Blinkit stores and warehousing against INR 37 Cr of Q4 Adjusted EBITDA.</t>
  </si>
  <si>
    <t xml:space="preserve">  Memo: delivery charges as % of B2C NOV</t>
  </si>
  <si>
    <t>C.  ADJUSTED EBITDA BY SEGMENT</t>
  </si>
  <si>
    <t xml:space="preserve">  Adjusted EBITDA margin (% of adjusted revenue)</t>
  </si>
  <si>
    <t>D.  BRIDGE — ADJUSTED EBITDA TO EBITDA (IND AS)</t>
  </si>
  <si>
    <t>Total adjusted EBITDA</t>
  </si>
  <si>
    <t xml:space="preserve">  Less: Share-based payment expense</t>
  </si>
  <si>
    <t xml:space="preserve">  Add: Rent paid on Ind AS 116 leases</t>
  </si>
  <si>
    <t xml:space="preserve">  EBITDA margin (% of revenue from operations)</t>
  </si>
  <si>
    <t xml:space="preserve">  Less: Depreciation &amp; amortisation</t>
  </si>
  <si>
    <t xml:space="preserve">  Less: Finance costs</t>
  </si>
  <si>
    <t xml:space="preserve">  Less: Tax expense</t>
  </si>
  <si>
    <t>IS!C25:D26</t>
  </si>
  <si>
    <t>IS!C26:D27</t>
  </si>
  <si>
    <t>IS!C27:D28</t>
  </si>
  <si>
    <t>Assumptions!D14:O14 (FD margin driver), IS!D22:O30 (segment adjusted EBITDA)</t>
  </si>
  <si>
    <t>OTHER INCOME / TREASURY &amp; INVESTMENT SCHEDULE — Eternal Limited (INR Cr)</t>
  </si>
  <si>
    <t>A.  INVESTMENT BASE</t>
  </si>
  <si>
    <t xml:space="preserve">  Closing cash &amp; treasury investments</t>
  </si>
  <si>
    <t xml:space="preserve">  Average balance</t>
  </si>
  <si>
    <t>B.  INCOME EARNED</t>
  </si>
  <si>
    <t xml:space="preserve">  Treasury yield on opening balance</t>
  </si>
  <si>
    <t>OTHER INCOME — ACCRUAL BASIS (to P&amp;L)</t>
  </si>
  <si>
    <t xml:space="preserve">    of which: interest on deposits &amp; bonds</t>
  </si>
  <si>
    <t xml:space="preserve">    of which: fair value gains on investments</t>
  </si>
  <si>
    <t>C.  CASH VS ACCRUAL</t>
  </si>
  <si>
    <t xml:space="preserve">  Treasury income received (cash, to CFS)</t>
  </si>
  <si>
    <t xml:space="preserve">  Accrual less cash received</t>
  </si>
  <si>
    <t xml:space="preserve">  Effective yield on average balance</t>
  </si>
  <si>
    <t>D.  CHECKS</t>
  </si>
  <si>
    <t xml:space="preserve">  Check: accrual income vs IS other income (must be nil)</t>
  </si>
  <si>
    <t xml:space="preserve">  Check: cash received vs CFS treasury line (must be nil)</t>
  </si>
  <si>
    <t>SHARE-BASED PAYMENT (ESOP) SCHEDULE — Eternal Limited (INR Cr)</t>
  </si>
  <si>
    <t>A.  SHARE-BASED PAYMENT CHARGE</t>
  </si>
  <si>
    <t>ESOP charge to P&amp;L</t>
  </si>
  <si>
    <t>B.  INTENSITY</t>
  </si>
  <si>
    <t xml:space="preserve">  as % of employee benefits expense</t>
  </si>
  <si>
    <t xml:space="preserve">  as % of revenue from operations</t>
  </si>
  <si>
    <t xml:space="preserve">  as % of adjusted EBITDA</t>
  </si>
  <si>
    <t xml:space="preserve">  Check: charge vs IS share-based payment line (must be nil)</t>
  </si>
  <si>
    <t>Employee benefits expense (% of revenue from operations)</t>
  </si>
  <si>
    <t>Advertisement &amp; sales promotion (% of revenue from operations)</t>
  </si>
  <si>
    <t>B. COST WATERFALL AS % OF REVENUE FROM OPERATIONS</t>
  </si>
  <si>
    <t>EBITDA margin (% of revenue from operations)</t>
  </si>
  <si>
    <t>EBITDA (reported basis) — check vs IS row 35</t>
  </si>
  <si>
    <t>TOTAL OPEX % of revenue from operations</t>
  </si>
  <si>
    <t>Revenue from operations</t>
  </si>
  <si>
    <t xml:space="preserve">  Less: Cost of goods sold</t>
  </si>
  <si>
    <t>GROSS PROFIT</t>
  </si>
  <si>
    <t xml:space="preserve">  Gross margin (% of revenue)</t>
  </si>
  <si>
    <t xml:space="preserve">  Less: Employee benefits expense (incl. ESOP)</t>
  </si>
  <si>
    <t xml:space="preserve">  Less: Delivery &amp; related charges</t>
  </si>
  <si>
    <t xml:space="preserve">  Less: Advertisement &amp; sales promotion</t>
  </si>
  <si>
    <t xml:space="preserve">  Less: Other expenses (incl. cash lease rent, tech, G&amp;A)</t>
  </si>
  <si>
    <t>EBITDA (reported)</t>
  </si>
  <si>
    <t xml:space="preserve">  EBITDA margin (% of revenue)</t>
  </si>
  <si>
    <t>EBIT</t>
  </si>
  <si>
    <t xml:space="preserve">  EBIT margin (% of revenue)</t>
  </si>
  <si>
    <t xml:space="preserve">  Add: Other income (treasury &amp; investments)</t>
  </si>
  <si>
    <t xml:space="preserve">  PAT margin (% of revenue)</t>
  </si>
  <si>
    <t xml:space="preserve">  IT support, server &amp; communication costs</t>
  </si>
  <si>
    <t xml:space="preserve">  Outsourced support costs</t>
  </si>
  <si>
    <t xml:space="preserve">  Payment gateway &amp; related charges</t>
  </si>
  <si>
    <t xml:space="preserve">  Rent, rates &amp; taxes</t>
  </si>
  <si>
    <t xml:space="preserve">    of which: salaries, wages &amp; bonus (excl. ESOP)</t>
  </si>
  <si>
    <t xml:space="preserve">    of which: share-based payment (ESOP)</t>
  </si>
  <si>
    <t xml:space="preserve">    of which: IT support, server &amp; communication</t>
  </si>
  <si>
    <t xml:space="preserve">    of which: outsourced support costs</t>
  </si>
  <si>
    <t xml:space="preserve">    of which: payment gateway &amp; related charges</t>
  </si>
  <si>
    <t xml:space="preserve">    of which: rent, rates &amp; taxes</t>
  </si>
  <si>
    <t xml:space="preserve">    of which: other (residual)</t>
  </si>
  <si>
    <t>Employee cost ex-ESOP (% of revenue from operations)</t>
  </si>
  <si>
    <t>ESOP charge (% of revenue from operations)</t>
  </si>
  <si>
    <t>Non-current assets</t>
  </si>
  <si>
    <t xml:space="preserve">  Property, plant &amp; equipment + CWIP</t>
  </si>
  <si>
    <t xml:space="preserve">  Right-of-use assets</t>
  </si>
  <si>
    <t xml:space="preserve">  Goodwill &amp; other intangibles</t>
  </si>
  <si>
    <t xml:space="preserve">  Total non-current assets</t>
  </si>
  <si>
    <t>Current assets</t>
  </si>
  <si>
    <t xml:space="preserve">  Inventories</t>
  </si>
  <si>
    <t xml:space="preserve">  Trade receivables</t>
  </si>
  <si>
    <t xml:space="preserve">  Other current assets</t>
  </si>
  <si>
    <t xml:space="preserve">  Total current assets</t>
  </si>
  <si>
    <t>Equity</t>
  </si>
  <si>
    <t xml:space="preserve">  Total equity</t>
  </si>
  <si>
    <t>Non-current liabilities</t>
  </si>
  <si>
    <t xml:space="preserve">  Lease liabilities — non-current</t>
  </si>
  <si>
    <t xml:space="preserve">  Other non-current liabilities &amp; provisions</t>
  </si>
  <si>
    <t xml:space="preserve">  Total non-current liabilities</t>
  </si>
  <si>
    <t>Current liabilities</t>
  </si>
  <si>
    <t xml:space="preserve">  Lease liabilities — current</t>
  </si>
  <si>
    <t xml:space="preserve">  Trade payables</t>
  </si>
  <si>
    <t xml:space="preserve">  Other current liabilities &amp; provisions</t>
  </si>
  <si>
    <t xml:space="preserve">  Total current liabilities</t>
  </si>
  <si>
    <t>MEMO</t>
  </si>
  <si>
    <t xml:space="preserve">  Net working capital (ex-cash)</t>
  </si>
  <si>
    <t xml:space="preserve">  Current ratio</t>
  </si>
  <si>
    <t xml:space="preserve">  Net cash / (debt) including lease liabilities</t>
  </si>
  <si>
    <t>BS!D17, BS!D21</t>
  </si>
  <si>
    <t>(BS!G23+BS!G27), Assumptions!B88</t>
  </si>
  <si>
    <t xml:space="preserve">Stores growth </t>
  </si>
  <si>
    <t xml:space="preserve">per day,per store NOV growth </t>
  </si>
  <si>
    <t>% change growth</t>
  </si>
  <si>
    <t>Eternal quarterly KPI databook, sheet 'B. Annual data', section 2) Food delivery, row 'Orders (million)': FY23 647.0, FY24 753.2, FY25 852.8, FY26 979.3. Databook supplied by user upload (the IR site is JavaScript-rendered and its PDFs are image-only). Stated here in crore, so the formula divides the disclosed million figure by 10. Cross-check: the FY25 annual report also reports 853 mn orders against 753 mn in FY24. See Data_Sources row 38.</t>
  </si>
  <si>
    <t>Revenue Schedule'!C8:N8 (orders input), 'Revenue Schedule'!C11:N11 (net AOV derived), Assumptions!D9:G9 and D11:G11 (now green links back to the Revenue Schedule)</t>
  </si>
  <si>
    <t>Revenue Schedule'!C38:N38 (quick commerce orders), C41:N41 (net AOV derived), C32:N32 (NOV per day per store), Assumptions!D20:G22 (now green links back to the Revenue Schedule)</t>
  </si>
  <si>
    <t>Source (linked to Data_Sources)</t>
  </si>
  <si>
    <t xml:space="preserve">% growth </t>
  </si>
  <si>
    <t>% change</t>
  </si>
  <si>
    <t>Q4FY26 run-rate: revenue 13,232 / NOV 14,386 = 92% under the full inventory-led (1P) model adopted from Q1FY26. mgt expects no more increase in overall</t>
  </si>
  <si>
    <t>Discontinued the B2B with Blinkit as it transform to IP model.</t>
  </si>
  <si>
    <t>Revenue as % of NOV (take rate )</t>
  </si>
  <si>
    <t xml:space="preserve">% Growth </t>
  </si>
  <si>
    <t>40+ partnerships with rental agencies, battery swapping companies, and logistics providers,efforts led to a 10.5% reduction in last-mile delivery emissions ,lowered the minimum order value (MOV) for free delivery,in Q2 FY26,In early FY27, management dropped delivery charges in specific markets to counter competitors offering "freebies" and zero delivery fees.</t>
  </si>
  <si>
    <t xml:space="preserve">Adjusted EBITDA margin (% of NOV) Food Delivery </t>
  </si>
  <si>
    <t>Adjusted EBITDA margin (% of NOV) Quick commerce</t>
  </si>
  <si>
    <t xml:space="preserve">Adjusted EBITDA margin (% of NOV) Going out </t>
  </si>
  <si>
    <t xml:space="preserve">Adjusted EBITDA margin (% of revenue) Hyperpure </t>
  </si>
  <si>
    <t>EBITDA (Adjusted IN P&amp;L )</t>
  </si>
  <si>
    <t xml:space="preserve"> Management Adjusted EBITDA guidance,of US$1bn annual Adjusted EBITDA, targeted around FY29, with management explicitly prioritising absolute Adjusted EBITDA rupees over percentage margin and reinvesting incremental gains into growth where high-quality opportunities exist. Forecast years are therefore held AT the guided corridors rather than extrapolated above them.</t>
  </si>
  <si>
    <t>BRIDGE — REVENUE FROM OPERATIONS (IND AS) TO ADJUSTED REVENUE</t>
  </si>
  <si>
    <t xml:space="preserve">  Add: Customer delivery charges (netted off in reported revenue)</t>
  </si>
  <si>
    <t xml:space="preserve">  Add: Customer platform fee &amp; other adjustments</t>
  </si>
  <si>
    <t xml:space="preserve">  Check vs consolidated total above (must be nil)</t>
  </si>
  <si>
    <t>IS!D22:D24 (PBT / tax / PAT)</t>
  </si>
  <si>
    <t>Quick commerce gross profit (% of NOV) — mgmt "effective take rate"</t>
  </si>
  <si>
    <t xml:space="preserve">  of which: inventory losses (% of NOV)</t>
  </si>
  <si>
    <t xml:space="preserve"> management  only component guidance for Blinkit and Hyperpure plus a direction of travel. Source:  (Q1FY27 results / earnings call), Overall direction: absolute COGS grows with scale, but COGS as a percentage of revenue is expected to be optimised through supply-chain automation, better sourcing via Hyperpure, and a shift toward higher-margin categories. External cost pressures noted by management: select raw materials are seeing inflation but it has not yet hit production volumes or brand supply; fuel price rises hit last-mile delivery cost rather than COGS, and management believes it can pass on drastic hikes to consumers as it did with GST increases.</t>
  </si>
  <si>
    <t>Bistro and other early-stage bets small base (FY26A adj. revenue INR 87 Cr).</t>
  </si>
  <si>
    <t xml:space="preserve"> Management disclosed inventory losses (expiry, shrinkage, damage, transit loss, pilferage) at approximately 1.8% of NOV, to be optimised through better replenishment planning and supply-chain efficiency. This records that guidance and its assumed taper to 1.2% by FY34E. It is deliberately NOT wired into the COGS build because inventory losses are already inside the gross profit % linking both would double-count the cost. Kept visible so the assumption can be challenged on its own.</t>
  </si>
  <si>
    <t>B2B food distribution gross margins run low double digits; company targets 4-5% Adjusted EBITDA margin at $1bn scale. Q1FY27 guidance adds only DIRECTION, no numbers: margin gains attributed to better sourcing and supply-chain efficiency (segment Adjusted EBITDA margin improved from -4% FY24 to -1% FY25), to Hyperpure acting as the backward-integrated sourcing engine for Blinkit fresh produce (better rates, lower wastage), and to own processing plants for sauces, spreads and pre-cut perishables improving price realisation. LEFT UNCHANGED at 12.0% rising to 14.0%. This opens at 12.0% against an FY26A actual of 5.1%, a one-year doubling with no stated cause. The 5.1% is itself only a derived residual (the algebraic inverse of the reported COGS build once quick commerce gross margin is fixed), so it may be distorted rather than real. Not overridden on judgement because the low-double-digit industry rationale above is a sourced view and the new guidance does not quantify this line.</t>
  </si>
  <si>
    <t>Quick commerce gross margin (% of consolidated segment revenue)</t>
  </si>
  <si>
    <t>Delivery &amp; related charges (% ofrevenue from operations)</t>
  </si>
  <si>
    <t>Gross profit ( Operational revenue − COGS)</t>
  </si>
  <si>
    <t>FY26A INR 9,065 Cr = 16.2% of net Revenue.  Guidance of mgt Improves slowly with batching, denser stores and shorter trip distances.</t>
  </si>
  <si>
    <t xml:space="preserve">FY26A INR 3,536 Cr = 6.3% of Net Revenue (includes INR 819 Cr of share-based payment). Mgt provides guidance than trends will in downwards but in long term </t>
  </si>
  <si>
    <t>FY26A INR 3,350 Cr = 6.0% of Net Revenue. Competitive intensity in quick commerce keeps this elevated near term.Mgt guidance that will continue to advertisement aggressively like is on , as it is a competiton in the market.</t>
  </si>
  <si>
    <t>Adjusted EBITDA (others)</t>
  </si>
  <si>
    <t xml:space="preserve">OTHER EXPENSES MIX (% of other expenses) </t>
  </si>
  <si>
    <t>SHARE COUNT &amp; DILUTION — Eternal Limited</t>
  </si>
  <si>
    <t>A.  SHARE COUNT ROLL-FORWARD</t>
  </si>
  <si>
    <t>Beginning shares outstanding</t>
  </si>
  <si>
    <t xml:space="preserve">  Add: Implied shares issued from ESOP</t>
  </si>
  <si>
    <t xml:space="preserve">  Add: Other equity issuance</t>
  </si>
  <si>
    <t xml:space="preserve">  Less: Share buybacks</t>
  </si>
  <si>
    <t>Ending shares outstanding</t>
  </si>
  <si>
    <t xml:space="preserve">  Annual dilution (% of beginning shares)</t>
  </si>
  <si>
    <t xml:space="preserve">  Cumulative dilution vs FY2026A</t>
  </si>
  <si>
    <t>B.  ESOP CHARGE (linked from ESOP Schedule)</t>
  </si>
  <si>
    <t>C.  SHARE PRICE ASSUMPTION</t>
  </si>
  <si>
    <t>Forecast average share price</t>
  </si>
  <si>
    <t xml:space="preserve">  Growth (compounded at cost of equity)</t>
  </si>
  <si>
    <t>D.  CHECKS &amp; MEMO</t>
  </si>
  <si>
    <t xml:space="preserve">  Check: ending = beginning + issuance − buybacks (must be nil)</t>
  </si>
  <si>
    <t xml:space="preserve">  Memo: share count used in the DCF</t>
  </si>
  <si>
    <t xml:space="preserve">  Check: DCF share count vs FY2026A ending (must be nil)</t>
  </si>
  <si>
    <t>Share count is anchored on FY2026A: ending shares equal the valuation share count in Assumptions B137 (919 Cr). FY2023A-FY2025A are intentionally blank — the model carries no historical share-count series. From FY2027E beginning shares roll forward automatically from the prior year's ending shares.</t>
  </si>
  <si>
    <t>C.  CHECK</t>
  </si>
  <si>
    <t xml:space="preserve">  Revenue Schedule</t>
  </si>
  <si>
    <t xml:space="preserve">  Cost Schedule</t>
  </si>
  <si>
    <t xml:space="preserve">  ESOP Schedule</t>
  </si>
  <si>
    <t>Share-based payment charge only</t>
  </si>
  <si>
    <t xml:space="preserve">  Share Count &amp; Dilution</t>
  </si>
  <si>
    <t>Share count roll-forward and ESOP dilution</t>
  </si>
  <si>
    <t>FY26A group capex INR 1,746 Cr on 942 net new stores (INR 1.85 Cr each including warehousing). UPDATED FOR Q1FY27 MANAGEMENT GUIDANCE: management has raised capex per store to INR 2.5 Cr, up from about INR 1 Cr, reflecting larger store formats and added warehousing/automation; commentary also notes it takes time for a new store to reach full productivity. Modelled at 2.5 Cr flat across FY27E-FY34E — held at the guided level.</t>
  </si>
  <si>
    <t>Residual movement. Interest accretion (row 10) is not separately disclosed for FY24 - the reported finance cost of 72 is not split between lease interest and other - so that component falls into this residual.</t>
  </si>
  <si>
    <t>FY25A interest expense on lease liabilities per the consolidated cash flow statement.</t>
  </si>
  <si>
    <t>LEASE SCHEDULE — Ind AS 116 lease liabilities and finance costs (INR Cr)</t>
  </si>
  <si>
    <t>A. LEASE LIABILITIES (Ind AS 116)</t>
  </si>
  <si>
    <t>B. DERIVED CASH &amp; P&amp;L ITEMS</t>
  </si>
  <si>
    <t>C. DETAIL ANALYSIS — lease economics &amp; leverage</t>
  </si>
  <si>
    <t xml:space="preserve">  Customer platform fee &amp; other adjustments (Revenue Schedule bridge)</t>
  </si>
  <si>
    <t>Dark store and warehouse leases run 5-9 years, 22% of the average ROU balance implies a 4.5-year weighted average remaining term given the young estate.</t>
  </si>
  <si>
    <t>Total group cash rent divided by store count  indicative only, as the estate also includes warehouses and offices.</t>
  </si>
  <si>
    <t>Derived, not directly disclosed: total D&amp;A of 526 less depreciation on owned assets of 113 (row 7) less intangible amortisation of 237 (row 21). Eternal does not split D&amp;A by asset class in the shareholders' letters.</t>
  </si>
  <si>
    <t xml:space="preserve">  Profit before tax (PBT)</t>
  </si>
  <si>
    <t xml:space="preserve">  Add: Depreciation &amp; amortisation (non-cash)</t>
  </si>
  <si>
    <t xml:space="preserve">  Add: Finance costs (reclassified to financing)</t>
  </si>
  <si>
    <t xml:space="preserve">  Less: Other income (reclassified to investing)</t>
  </si>
  <si>
    <t xml:space="preserve">  Operating profit before working capital changes</t>
  </si>
  <si>
    <t xml:space="preserve">    Memo: as % of reported revenue</t>
  </si>
  <si>
    <t>FY26A amortisation on intangible assets  Paytm-ticketing acquisition intangibles run off  5% every year down gradually.</t>
  </si>
  <si>
    <t>Reported EBITDA (Ind AS 116)</t>
  </si>
  <si>
    <t xml:space="preserve">  Less: Lease principal repaid</t>
  </si>
  <si>
    <t xml:space="preserve">  Less: Lease interest paid</t>
  </si>
  <si>
    <t>Total fixed lease rent (effective cash rent)</t>
  </si>
  <si>
    <t xml:space="preserve">  Effective rent as % of revenue from operations</t>
  </si>
  <si>
    <t>PRE-IND AS 116 EBITDA</t>
  </si>
  <si>
    <t xml:space="preserve">  Pre-Ind AS 116 EBITDA margin (%)</t>
  </si>
  <si>
    <t>Pre-Ind AS 116 EBITDA (after cash lease rent)</t>
  </si>
  <si>
    <t>Less: cash tax on operating profit (EBITDA less owned depreciation &amp; intangible amortisation)</t>
  </si>
  <si>
    <t>Less: lease liabilities (nil — rent already deducted above)</t>
  </si>
  <si>
    <t>Implied EV / FY2027E pre-Ind AS 116 EBITDA</t>
  </si>
  <si>
    <t>Implied EV / FY2030E pre-Ind AS 116 EBITDA</t>
  </si>
  <si>
    <t>Market EV / FY2030E pre-Ind AS 116 EBITDA</t>
  </si>
  <si>
    <t>Movement in goodwill and other intangibles. Goodwill was unchanged at 4,717 across FY23 and FY24, so the entire 237 movement is amortisation of other intangible assets (991 to 754), assuming no additions in the year</t>
  </si>
  <si>
    <t>FY26A other income INR 1,396 Cr on INR 18,400 Cr average treasury. Portfolio is G-secs, bonds and MFs held to maturity and yield set near the 10-yr G-Sec (6.70-6.85%, Jul-26).</t>
  </si>
  <si>
    <t>NWC as % of revenue from operations</t>
  </si>
  <si>
    <t>Receivable days (on revenue from operations)</t>
  </si>
  <si>
    <t>Other current assets (% of revenue from operations)</t>
  </si>
  <si>
    <t>Other current liabilities (% of revenue from operations)</t>
  </si>
  <si>
    <t>FY26A 11.8 days (receivables 1,764 on revenue from operations 54,364). Basis changed from adjusted revenue to reported revenue from operations so the driver matches the Ind AS statements the WC schedule feeds. Consumer platforms collect from payment gateways in days; receivables are mostly brand-ad and Hyperpure dues.</t>
  </si>
  <si>
    <t>FY26A: other financial assets (current) 3,537 + other current assets 1,604 = 5,141 = 9.5% of revenue from operations (54,364). Includes gateway balances and supplier advances. Basis changed from adjusted revenue to revenue from operations.</t>
  </si>
  <si>
    <t>FY26A 26 days (inventories 2,181 on COGS 30,167). First full year of owning quick-commerce inventory and will improves modestly with assortment planning and Hyperpure backward integration.</t>
  </si>
  <si>
    <t>FY26A 36 days (payables 3,010 on COGS 30,167). Scale should lengthen terms with brands modestly  in quick commerce.</t>
  </si>
  <si>
    <t xml:space="preserve">FY26A: other financial liabilities 1,105 + other current liabilities 744 + provisions 39 = 1,888 = 3.5% of revenue from operations (54,364). </t>
  </si>
  <si>
    <t>RETURNS ON INVESTED CAPITAL</t>
  </si>
  <si>
    <t>NOPAT (EBIT × (1 − effective tax rate))</t>
  </si>
  <si>
    <t>Invested capital (closing)</t>
  </si>
  <si>
    <t>Invested capital (average)</t>
  </si>
  <si>
    <t>ROIC (NOPAT / avg. invested capital)</t>
  </si>
  <si>
    <t>ROIC less WACC (value-creation spread)</t>
  </si>
  <si>
    <t>Incremental ROIC (Δ NOPAT / Δ invested capital)</t>
  </si>
  <si>
    <t>Discount period to today (years)</t>
  </si>
  <si>
    <t>Discount rate applied to enterprise value (WACC)</t>
  </si>
  <si>
    <t>Present value of enterprise value (today)</t>
  </si>
  <si>
    <t>Add: net cash &amp; treasury investments (FY2026A, today)</t>
  </si>
  <si>
    <t>Equity value (today)</t>
  </si>
  <si>
    <t>Diluted shares outstanding (crore, FY2030E)</t>
  </si>
  <si>
    <t>SOTP value per share (INR)</t>
  </si>
  <si>
    <t>TERMINAL VALUE — ROIC-CONSISTENT CROSS-CHECK</t>
  </si>
  <si>
    <t>Terminal-year NOPAT (FY2034E, from Ratios)</t>
  </si>
  <si>
    <t>Terminal-year ROIC as modelled (from Ratios)</t>
  </si>
  <si>
    <t>Sustainable ROIC assumed in perpetuity</t>
  </si>
  <si>
    <t>Implied terminal reinvestment rate (g / sustainable ROIC)</t>
  </si>
  <si>
    <t>Terminal FCFF (FY2035E) = NOPAT x (1+g) x (1 - reinvestment)</t>
  </si>
  <si>
    <t>Terminal value at FY2034 (ROIC-consistent)</t>
  </si>
  <si>
    <t>PV of terminal value (ROIC-consistent)</t>
  </si>
  <si>
    <t>Implied terminal EV/EBITDA — current method (row 24)</t>
  </si>
  <si>
    <t>Implied terminal EV/EBITDA — ROIC-consistent (row 52)</t>
  </si>
  <si>
    <t>SOTP exit multiple applied to FY2030E (for comparison)</t>
  </si>
  <si>
    <t>REVERSE DCF — WHAT IS THE MARKET PRICING IN? (Eternal Limited, INR Cr unless stated)</t>
  </si>
  <si>
    <t>A.  WHAT THE MARKET IS PAYING TODAY</t>
  </si>
  <si>
    <t>Less: net cash &amp; treasury investments (FY2026A)</t>
  </si>
  <si>
    <t>MARKET-IMPLIED ENTERPRISE VALUE</t>
  </si>
  <si>
    <t>B.  MARKET-IMPLIED TERMINAL GROWTH RATE  (WACC and the FY27-34 FCFF stream held at model values)</t>
  </si>
  <si>
    <t>Sum of PV of FCFF, FY2027E-FY2034E (from DCF)</t>
  </si>
  <si>
    <t>Required PV of terminal value to justify today's price</t>
  </si>
  <si>
    <t>Discount factor at FY2034 (8 years at WACC)</t>
  </si>
  <si>
    <t>Required terminal value at FY2034</t>
  </si>
  <si>
    <t>FY2034E FCFF (from DCF)</t>
  </si>
  <si>
    <t>WACC (from DCF)</t>
  </si>
  <si>
    <t>MARKET-IMPLIED TERMINAL GROWTH RATE</t>
  </si>
  <si>
    <t xml:space="preserve">  Memo: terminal growth rate assumed in the DCF</t>
  </si>
  <si>
    <t xml:space="preserve">  Memo: risk-free rate (the disciplined ceiling for g)</t>
  </si>
  <si>
    <t xml:space="preserve">  Memo: assumed Indian nominal GDP growth (long run)</t>
  </si>
  <si>
    <t>VERDICT</t>
  </si>
  <si>
    <t>C.  MARKET-IMPLIED TERMINAL EV/EBITDA</t>
  </si>
  <si>
    <t>FY2034E pre-Ind AS 116 EBITDA</t>
  </si>
  <si>
    <t>Required terminal value at FY2034 (from row 15)</t>
  </si>
  <si>
    <t>MARKET-IMPLIED TERMINAL EV/EBITDA</t>
  </si>
  <si>
    <t xml:space="preserve">  Memo: terminal multiple implied by the DCF as built</t>
  </si>
  <si>
    <t xml:space="preserve">  Memo: terminal multiple on a ROIC-consistent terminal</t>
  </si>
  <si>
    <t xml:space="preserve">  Memo: SOTP blended exit multiple on FY2030E EBITDA</t>
  </si>
  <si>
    <t xml:space="preserve">  Memo: market EV / FY2030E EBITDA today</t>
  </si>
  <si>
    <t>D.  MARKET-IMPLIED WACC  (terminal growth held at the model's 5.0%; FCFF stream held at model values)</t>
  </si>
  <si>
    <t>WACC trial</t>
  </si>
  <si>
    <t>Value per share (INR)</t>
  </si>
  <si>
    <t>Difference vs market price</t>
  </si>
  <si>
    <t>MARKET-IMPLIED WACC (interpolated from the grid below)</t>
  </si>
  <si>
    <t xml:space="preserve">  Memo: WACC as built in the DCF</t>
  </si>
  <si>
    <t xml:space="preserve">  Market-implied WACC less model WACC</t>
  </si>
  <si>
    <t xml:space="preserve">  Helper: first grid row where value per share falls below the market price</t>
  </si>
  <si>
    <t>PV of enterprise value (discounted 4 yrs at WACC)</t>
  </si>
  <si>
    <t>Add: net cash &amp; treasury investments (today, FY2026A)</t>
  </si>
  <si>
    <t>Value per share today (INR)</t>
  </si>
  <si>
    <t>PROBABILITY-WEIGHTED OUTCOME</t>
  </si>
  <si>
    <t>Probability assigned</t>
  </si>
  <si>
    <t>Check: probabilities must sum to 100%</t>
  </si>
  <si>
    <t>PROBABILITY-WEIGHTED (EXPECTED) VALUE PER SHARE</t>
  </si>
  <si>
    <t>Expected upside / (downside) vs CMP</t>
  </si>
  <si>
    <t>Reward-to-risk ratio (bull upside ÷ bear downside)</t>
  </si>
  <si>
    <t>COHERENCE CHECK: bull &gt; base &gt; bear on every growth driver</t>
  </si>
  <si>
    <t>COHERENCE CHECK: bull &gt; base &gt; bear on every margin driver</t>
  </si>
  <si>
    <t>PORTFOLIO MANAGER DASHBOARD — ETERNAL LIMITED (formerly Zomato)</t>
  </si>
  <si>
    <t>A.  THE DECISION</t>
  </si>
  <si>
    <t>Probability-weighted expected value (INR)</t>
  </si>
  <si>
    <t>Expected return vs market price</t>
  </si>
  <si>
    <t>Margin of safety vs expected value</t>
  </si>
  <si>
    <t>Reward-to-risk (bull upside ÷ bear downside)</t>
  </si>
  <si>
    <t>RECOMMENDATION</t>
  </si>
  <si>
    <t>B.  VALUATION RANGE (INR per share)</t>
  </si>
  <si>
    <t>DCF — as built (terminal g 5.0%)</t>
  </si>
  <si>
    <t>DCF — terminal g raised to the risk-free rate (6.8%)</t>
  </si>
  <si>
    <t>SOTP — FY2030E exit multiples, discounted at WACC</t>
  </si>
  <si>
    <t>Scenario — bear</t>
  </si>
  <si>
    <t>Scenario — base</t>
  </si>
  <si>
    <t>Scenario — bull</t>
  </si>
  <si>
    <t>Probability-weighted expected value</t>
  </si>
  <si>
    <t>Spread of the range (bull ÷ bear)</t>
  </si>
  <si>
    <t>C.  EXPECTED RETURN — 4-YEAR IRR TO AN FY2030 EXIT</t>
  </si>
  <si>
    <t>FY2030E net cash / (debt) incl. lease liabilities</t>
  </si>
  <si>
    <t>FY2030E diluted shares (crore)</t>
  </si>
  <si>
    <t>IRR to FY2030 exit — bear</t>
  </si>
  <si>
    <t>IRR to FY2030 exit — base</t>
  </si>
  <si>
    <t>IRR to FY2030 exit — bull</t>
  </si>
  <si>
    <t>Probability-weighted IRR</t>
  </si>
  <si>
    <t>Fund hurdle rate for a position of size</t>
  </si>
  <si>
    <t>Clears the hurdle?</t>
  </si>
  <si>
    <t>D.  WHAT THE MARKET IS ALREADY PRICING IN (from Reverse_DCF)</t>
  </si>
  <si>
    <t>Market-implied terminal growth rate (WACC held at 14.41%)</t>
  </si>
  <si>
    <t>Market-implied WACC (terminal g held at 5.0%)</t>
  </si>
  <si>
    <t>Market-implied terminal EV/EBITDA on FY2034E</t>
  </si>
  <si>
    <t>Market EV / FY2030E Adjusted EBITDA today</t>
  </si>
  <si>
    <t>E.  POSITION SIZING</t>
  </si>
  <si>
    <t>Maximum single-position weight (fund mandate)</t>
  </si>
  <si>
    <t>Acceptable loss on the position at the bear case (fund limit)</t>
  </si>
  <si>
    <t>Bear-case drawdown per unit invested</t>
  </si>
  <si>
    <t>Position size implied by the loss limit (bear loss ÷ limit)</t>
  </si>
  <si>
    <t>RECOMMENDED POSITION SIZE</t>
  </si>
  <si>
    <t>F.  KPIs TO MONITOR EVERY QUARTER</t>
  </si>
  <si>
    <t>FY2027E model</t>
  </si>
  <si>
    <t>What would break the thesis</t>
  </si>
  <si>
    <t>Blinkit dark stores (end of year)</t>
  </si>
  <si>
    <t>Blinkit NOV per store per day (INR '000)</t>
  </si>
  <si>
    <t>Blinkit Adjusted EBITDA per store (INR Cr)</t>
  </si>
  <si>
    <t>Consolidated ROIC</t>
  </si>
  <si>
    <t>Closing cash &amp; treasury investments (INR Cr)</t>
  </si>
  <si>
    <t>G.  CATALYSTS</t>
  </si>
  <si>
    <t>Timing</t>
  </si>
  <si>
    <t>Why it matters to the valuation</t>
  </si>
  <si>
    <t>Blinkit reaching sustained positive segment EBITDA</t>
  </si>
  <si>
    <t>FY2027-28</t>
  </si>
  <si>
    <t>Removes the loss-making discount and lets the market underwrite the 5-6% guided steady-state margin. Worth the most of any single event.</t>
  </si>
  <si>
    <t>Food delivery take rate moving through 32%</t>
  </si>
  <si>
    <t>Quick-commerce competitive intensity easing (Zepto, Instamart funding)</t>
  </si>
  <si>
    <t>Ongoing</t>
  </si>
  <si>
    <t>The binary variable. Rational competition validates the base case; a funded price war invalidates every margin assumption in the model.</t>
  </si>
  <si>
    <t>District scaling towards the $3bn NOV ambition</t>
  </si>
  <si>
    <t>FY2028-30</t>
  </si>
  <si>
    <t>Clarity on gig-worker regulation and q-commerce inventory rules</t>
  </si>
  <si>
    <t>Unpredictable</t>
  </si>
  <si>
    <t>Two-sided. Resolution removes a discount; adverse rules hit the cost line directly and permanently.</t>
  </si>
  <si>
    <t>H.  KEY RISKS — WHAT BREAKS THE THESIS</t>
  </si>
  <si>
    <t>Severity</t>
  </si>
  <si>
    <t>Where it shows up in the model</t>
  </si>
  <si>
    <t>Valuation is the risk: the market already discounts ~10% perpetual growth</t>
  </si>
  <si>
    <t>Critical</t>
  </si>
  <si>
    <t>Reverse_DCF row 18. There is no margin of safety at 281 on any defensible terminal assumption.</t>
  </si>
  <si>
    <t>ROIC below WACC until FY2029E</t>
  </si>
  <si>
    <t>Ratios row 33. Three more years of value destruction before the compounding story begins.</t>
  </si>
  <si>
    <t>High</t>
  </si>
  <si>
    <t>Medium</t>
  </si>
  <si>
    <t>Assumptions tab, flagged in the model's own note and still unresolved.</t>
  </si>
  <si>
    <t>VARIANT PERCEPTION — MARKET-IMPLIED vs MY VIEW</t>
  </si>
  <si>
    <t>Market-implied</t>
  </si>
  <si>
    <t>My view (model)</t>
  </si>
  <si>
    <t>Variance</t>
  </si>
  <si>
    <t>Why I differ, and what would prove me right or wrong</t>
  </si>
  <si>
    <t>VALUATION PARAMETERS</t>
  </si>
  <si>
    <t>Terminal growth rate (perpetuity)</t>
  </si>
  <si>
    <t>Terminal EV/EBITDA on FY2034E</t>
  </si>
  <si>
    <t>Exit EV/EBITDA on FY2030E (SOTP blended)</t>
  </si>
  <si>
    <t>Blinkit dark stores, FY2030E</t>
  </si>
  <si>
    <t>Blinkit NOV per store per day (INR '000), FY2030E</t>
  </si>
  <si>
    <t>Blinkit Adjusted EBITDA margin (% of NOV), FY2030E</t>
  </si>
  <si>
    <t>Food delivery take rate, FY2030E</t>
  </si>
  <si>
    <t>Group Adjusted EBITDA, FY2030E (INR Cr)</t>
  </si>
  <si>
    <t>ROIC, FY2030E</t>
  </si>
  <si>
    <t>First year ROIC exceeds WACC</t>
  </si>
  <si>
    <t>CATALYST MAP — WHAT CLOSES THE VARIANCE</t>
  </si>
  <si>
    <t>Which variance line resolves</t>
  </si>
  <si>
    <t>Event</t>
  </si>
  <si>
    <t>Read-through</t>
  </si>
  <si>
    <t>Blinkit EBITDA margin (row 16)</t>
  </si>
  <si>
    <t>Q2/Q3 FY27 segment disclosure</t>
  </si>
  <si>
    <t>Dark-store throughput (row 15)</t>
  </si>
  <si>
    <t>Quarterly NOV per store disclosure</t>
  </si>
  <si>
    <t>Throughput rising alongside store adds validates the density thesis. Throughput flat or falling while stores grow is the cannibalisation signal and would take roughly a third off Blinkit NOV.</t>
  </si>
  <si>
    <t>Take rate (row 18)</t>
  </si>
  <si>
    <t>Platform fee changes, restaurant-body response</t>
  </si>
  <si>
    <t>INVESTMENT MEMO — ETERNAL LIMITED (formerly Zomato)</t>
  </si>
  <si>
    <t>Prepared for Investment Committee. Numbers in this memo are live links to the model — they update when assumptions change.</t>
  </si>
  <si>
    <t>Action</t>
  </si>
  <si>
    <t>In one line</t>
  </si>
  <si>
    <t>THE BUSINESS</t>
  </si>
  <si>
    <t>What we would be buying</t>
  </si>
  <si>
    <t>Four businesses inside one listed entity. Food delivery is a mature, profitable duopoly asset that funds the group. Blinkit is a capital-hungry quick-commerce land grab that is 63% of the sum-of-the-parts value and effectively the entire investment case. Hyperpure is a low-margin B2B distribution business with no clear moat. District is early-stage going-out optionality worth roughly 8% of value. Buying the stock means underwriting Blinkit and accepting the other three as ballast.</t>
  </si>
  <si>
    <t>INVESTMENT THESIS — IF WE OWNED IT</t>
  </si>
  <si>
    <t>1. Structural duopoly in food delivery</t>
  </si>
  <si>
    <t>2. Quick commerce is a density business, and density compounds</t>
  </si>
  <si>
    <t>3. The capital cycle turns in FY2030</t>
  </si>
  <si>
    <t>VARIANT PERCEPTION</t>
  </si>
  <si>
    <t>Where I differ from the market</t>
  </si>
  <si>
    <t>The honest variant view</t>
  </si>
  <si>
    <t>WHAT THE MARKET IS PRICING IN</t>
  </si>
  <si>
    <t>Reverse-engineered from the price</t>
  </si>
  <si>
    <t>VALUATION SUMMARY (INR per share)</t>
  </si>
  <si>
    <t>Bear / Base / Bull</t>
  </si>
  <si>
    <t>DCF range (g of 5.0% to 6.8%)</t>
  </si>
  <si>
    <t>Expected value and return</t>
  </si>
  <si>
    <t>KILL CRITERIA — WHAT MAKES US EXIT</t>
  </si>
  <si>
    <t>1. Throughput stalls</t>
  </si>
  <si>
    <t>2. Margin reversal</t>
  </si>
  <si>
    <t>3. Funded price war</t>
  </si>
  <si>
    <t>4. Take-rate cap</t>
  </si>
  <si>
    <t>5. External capital raise</t>
  </si>
  <si>
    <t>COMPETITIVE ADVANTAGE — AND ITS LIMITS</t>
  </si>
  <si>
    <t>What is durable</t>
  </si>
  <si>
    <t>Food delivery: a genuine two-player structure, restaurant supply that took a decade to assemble, and a rider network with real scale economics. Take rate has risen without volume loss, which is the clearest evidence of pricing power in the group.</t>
  </si>
  <si>
    <t>What is not</t>
  </si>
  <si>
    <t>CAPITAL ALLOCATION</t>
  </si>
  <si>
    <t>How management deploys capital</t>
  </si>
  <si>
    <t>The question for management</t>
  </si>
  <si>
    <t>Recommended weight</t>
  </si>
  <si>
    <t>What would change the answer</t>
  </si>
  <si>
    <t>MODEL INTEGRITY CONTROL PANEL</t>
  </si>
  <si>
    <t>Every line is live. If any cell in column B reads FAIL or REVIEW, the model is not ready to show a PM.</t>
  </si>
  <si>
    <t>MASTER STATUS</t>
  </si>
  <si>
    <t>Overall</t>
  </si>
  <si>
    <t>A.  ARITHMETIC INTEGRITY</t>
  </si>
  <si>
    <t>Closing cash ties between CFS and BS</t>
  </si>
  <si>
    <t>B.  VALUATION COHERENCE</t>
  </si>
  <si>
    <t>Terminal growth does not exceed the risk-free rate</t>
  </si>
  <si>
    <t>Terminal value is not an excessive share of enterprise value</t>
  </si>
  <si>
    <t>DCF and SOTP agree within 20%</t>
  </si>
  <si>
    <t>Market-implied terminal growth is achievable</t>
  </si>
  <si>
    <t>ROIC exceeds WACC within the forecast horizon</t>
  </si>
  <si>
    <t>C.  SCENARIO DISCIPLINE</t>
  </si>
  <si>
    <t>Bull exceeds base exceeds bear on every growth driver</t>
  </si>
  <si>
    <t>Bull exceeds base exceeds bear on every margin driver</t>
  </si>
  <si>
    <t>Guard check — will fail if a future edit reintroduces an inverted bull case.</t>
  </si>
  <si>
    <t>Scenario probabilities sum to 100%</t>
  </si>
  <si>
    <t>Scenarios flex capital intensity, not just growth and margin</t>
  </si>
  <si>
    <t>Store-level unit economics are modelled by cohort</t>
  </si>
  <si>
    <t>── INVESTMENT DECISION</t>
  </si>
  <si>
    <t xml:space="preserve">  Dashboard</t>
  </si>
  <si>
    <t>PM one-page decision sheet</t>
  </si>
  <si>
    <t>Recommendation, valuation range, IRR by scenario, margin of safety, position sizing, KPIs to monitor, catalysts, key risks</t>
  </si>
  <si>
    <t xml:space="preserve">  Memo</t>
  </si>
  <si>
    <t>Investment memo</t>
  </si>
  <si>
    <t>Thesis pillars, variant perception, what the market prices in, catalysts, kill criteria, moat, capital allocation, sizing</t>
  </si>
  <si>
    <t xml:space="preserve">  Variant_View</t>
  </si>
  <si>
    <t>Consensus vs my view</t>
  </si>
  <si>
    <t>Market-implied vs modelled on growth, margin, take rate, stores, ROIC, multiple and terminal growth; consensus column awaits broker data</t>
  </si>
  <si>
    <t xml:space="preserve">  Reverse_DCF</t>
  </si>
  <si>
    <t>What the market is pricing in</t>
  </si>
  <si>
    <t>Market-implied terminal growth, terminal EV/EBITDA and WACC, solved from today's price against the model's own cash flows</t>
  </si>
  <si>
    <t xml:space="preserve">  Checks</t>
  </si>
  <si>
    <t>Integrity and coherence control panel</t>
  </si>
  <si>
    <t>Balance-sheet and cash ties, error scan, valuation coherence, scenario discipline, register of unresolved assumptions</t>
  </si>
  <si>
    <t>Mgmt: NOV growth to 18.8% YoY in Q4FY26, 'inching closer to our long-term expectation of 20%+' (Q4FY26 letter, Q1/Q7). Fading to 15% by FY34 because IBEF puts the industry CAGR to FY34 at 17-18% and new entrants (Flipkart, ONDC) are emerging. RETAINED AS A BENCHMARK ONLY: the build is driven by orders x NAOV, which implies c.18.4%. The gap between this row and row 7 is the gap between management's ambition and what the model actually assumes.</t>
  </si>
  <si>
    <t>TABLE 2 — Value per share today (INR): FY2030E Adjusted EBITDA (rows) vs blended EV/EBITDA exit multiple (columns), enterprise value discounted 4 years at WACC</t>
  </si>
  <si>
    <t>HELD-CONSTANT INPUTS USED BY TABLES 3 AND 4</t>
  </si>
  <si>
    <t>Non-Blinkit FY2030E Adjusted EBITDA (INR Cr)</t>
  </si>
  <si>
    <t>Blinkit Adjusted EBITDA margin (% of NOV)</t>
  </si>
  <si>
    <t>Blended EV/EBITDA exit multiple</t>
  </si>
  <si>
    <t>Compounding factor, 4 years at WACC</t>
  </si>
  <si>
    <t>Net cash and treasury today (INR Cr)</t>
  </si>
  <si>
    <t>Blinkit FY2030E NOV at base drivers (INR Cr)</t>
  </si>
  <si>
    <t>TABLE 3 — Value per share today (INR): Blinkit FY2030E average dark stores (rows) vs NOV per store per day, INR '000 (columns)</t>
  </si>
  <si>
    <t>The two drivers that actually decide this investment. All other segments, the Blinkit margin on NOV and the blended exit multiple are held at base — see the inputs block to the right.</t>
  </si>
  <si>
    <t>Avg stores \ NOV per store/day</t>
  </si>
  <si>
    <t>TABLE 4 — Value per share today (INR): Blinkit steady-state Adjusted EBITDA margin, % of NOV (rows) vs blended EV/EBITDA exit multiple (columns)</t>
  </si>
  <si>
    <t>Blinkit NOV is held at the base FY2030E level, so this isolates margin and rating. Every 50bp of Blinkit margin is worth roughly the same as four turns of the blended multiple.</t>
  </si>
  <si>
    <t>Blinkit margin \ exit multiple</t>
  </si>
  <si>
    <t>D.  BLINKIT STORE-LEVEL UNIT ECONOMICS AND COHORT PAYBACK</t>
  </si>
  <si>
    <t>Right-of-use asset / lease liability per new store</t>
  </si>
  <si>
    <t>Total invested capital per new store</t>
  </si>
  <si>
    <t>Mature NOV per store per day (FY2034E steady state)</t>
  </si>
  <si>
    <t>Mature NOV per store per year</t>
  </si>
  <si>
    <t>Steady-state Adjusted EBITDA margin (% of NOV)</t>
  </si>
  <si>
    <t>Mature Adjusted EBITDA per store per year</t>
  </si>
  <si>
    <t>Returns at maturity</t>
  </si>
  <si>
    <t>Simple payback on store capex only</t>
  </si>
  <si>
    <t>years</t>
  </si>
  <si>
    <t>Simple payback on total invested capital (capex plus lease)</t>
  </si>
  <si>
    <t>Pre-tax cash return on invested capital at maturity</t>
  </si>
  <si>
    <t>Post-tax return at the terminal effective tax rate</t>
  </si>
  <si>
    <t>Spread over WACC</t>
  </si>
  <si>
    <t>pp</t>
  </si>
  <si>
    <t>Maturity ramp for a single store cohort</t>
  </si>
  <si>
    <t>Year 1</t>
  </si>
  <si>
    <t>Year 2</t>
  </si>
  <si>
    <t>Year 3</t>
  </si>
  <si>
    <t>Year 4+</t>
  </si>
  <si>
    <t>% of mature throughput achieved</t>
  </si>
  <si>
    <t>Adjusted EBITDA per store</t>
  </si>
  <si>
    <t>Cumulative Adjusted EBITDA per store</t>
  </si>
  <si>
    <t>Cumulative as % of invested capital per store</t>
  </si>
  <si>
    <t>Cash-on-cash payback including the ramp</t>
  </si>
  <si>
    <t>Stores that must be added FY2027E-FY2034E to hit the model's FY2034E count</t>
  </si>
  <si>
    <t>Cumulative store capex implied (undiscounted)</t>
  </si>
  <si>
    <t>READ-THROUGH ON STORE ECONOMICS</t>
  </si>
  <si>
    <t>8. Test to run: at what steady-state margin does a store still clear WACC? Roughly 0.5% of NOV. So the investment case does not depend on Blinkit hitting 6.0% — it depends on whether the store count can be built at all. That reframes the risk from margin risk to execution and competition risk.</t>
  </si>
  <si>
    <t>9. Caveat on this block: it assumes a mature store, terminal-year drivers and no cannibalisation between stores as density increases. The group-average EBITDA per store on row 9 is the blended reality and will always sit below these numbers while the store base is growing.</t>
  </si>
  <si>
    <t>INVESTMENT CONCLUSION</t>
  </si>
  <si>
    <t>Full decision page on the Dashboard tab; the written case, kill criteria and open items are on Memo.</t>
  </si>
  <si>
    <t>Index — navigation, key outputs and the model flow diagram; start here</t>
  </si>
  <si>
    <t>Assumptions — every input, with the filing / call reference in the source column</t>
  </si>
  <si>
    <t>Revenue Schedule — NOV, adjusted revenue and Adjusted EBITDA for all five reporting segments</t>
  </si>
  <si>
    <t>IS / BS / CFS — statements, the bridge from Adjusted EBITDA to reported PAT, and the company's own cash and treasury bridge</t>
  </si>
  <si>
    <t>FA_Schedule / Lease_Schedule / WC_Schedule / Cost Schedule / ESOP Schedule / Other Income Schedule — supporting builds</t>
  </si>
  <si>
    <t>OpMetrics — operating KPIs, plus store-level unit economics and cohort payback for Blinkit (section D)</t>
  </si>
  <si>
    <t>Ratios — growth, margins, unit economics, ROIC against WACC, and valuation at the market price</t>
  </si>
  <si>
    <t>DCF — 8-year FCFF on a cash-rent basis, WACC build-up, terminal value and a ROIC-consistent terminal cross-check</t>
  </si>
  <si>
    <t>Scenarios — bear / base / bull on the four operating businesses, probability-weighted to an expected value</t>
  </si>
  <si>
    <t>Reverse_DCF — what today's price requires: implied terminal growth, implied terminal multiple, implied WACC</t>
  </si>
  <si>
    <t>Variant_View — market-implied versus modelled on each driver; the consensus column awaits broker data</t>
  </si>
  <si>
    <t>Dashboard — the PM decision page: valuation range, IRR by scenario, margin of safety, position sizing, KPIs, catalysts, risks</t>
  </si>
  <si>
    <t>Memo — the written investment case, variant perception, kill criteria and outstanding work</t>
  </si>
  <si>
    <t>Checks — integrity and coherence control panel; read this before relying on any number in the workbook</t>
  </si>
  <si>
    <t>Beta Calc / ERP &amp; Rf / Comparable / Data_Sources — reference tabs behind the cost of capital, the peer set and every sourced figure</t>
  </si>
  <si>
    <t>Probability-weighted expected value / share</t>
  </si>
  <si>
    <t>Probability-weighted IRR to a FY2030 exit (hurdle 18%)</t>
  </si>
  <si>
    <t>BUY-SIDE REVIEW ADDITIONS — JUDGEMENT INPUTS (NOT SOURCED FROM ANY FILING)</t>
  </si>
  <si>
    <t>Every figure below is an analyst judgement introduced during the buy-side review. None of it is company-disclosed or third-party sourced. Change them freely — but know that they move the recommendation.</t>
  </si>
  <si>
    <t>Input</t>
  </si>
  <si>
    <t>Location</t>
  </si>
  <si>
    <t>Basis</t>
  </si>
  <si>
    <t>Scenario probabilities (bear / base / bull)</t>
  </si>
  <si>
    <t>Scenarios!B35:D35</t>
  </si>
  <si>
    <t>Analyst judgement. Weighted toward the bear case because the market already discounts near-GDP perpetual growth, which leaves no valuation cushion.</t>
  </si>
  <si>
    <t>Bull-case growth drivers (Blinkit 58%, Hyperpure 33%, FD 22%, District 40%)</t>
  </si>
  <si>
    <t>Scenarios!D5:D11</t>
  </si>
  <si>
    <t>see tab</t>
  </si>
  <si>
    <t>Reset during the review. The prior bull inputs sat BELOW the derived base case for Blinkit and Hyperpure, which made the bull column arithmetically incoherent.</t>
  </si>
  <si>
    <t>Dashboard!B30</t>
  </si>
  <si>
    <t>Placeholder. Replace with your fund's actual hurdle — it drives the recommendation and the position size.</t>
  </si>
  <si>
    <t>Maximum position weight and acceptable bear-case loss</t>
  </si>
  <si>
    <t>Dashboard!B40:B41</t>
  </si>
  <si>
    <t>Placeholder mandate limits. Replace with your actual risk limits.</t>
  </si>
  <si>
    <t>Sustainable terminal ROIC used in the DCF cross-check</t>
  </si>
  <si>
    <t>Analyst judgement. Set well below the model's computed FY2034E ROIC because that figure is flattered by netting a large cash balance off invested capital.</t>
  </si>
  <si>
    <t>Store maturity ramp (Year 1-4 % of mature throughput)</t>
  </si>
  <si>
    <t>OpMetrics!C56:F56</t>
  </si>
  <si>
    <t>Analyst judgement. The company does not disclose cohort curves. This is the single least evidenced input in the store payback calculation.</t>
  </si>
  <si>
    <t>Assumed Indian nominal GDP growth (ceiling test for terminal growth)</t>
  </si>
  <si>
    <t>Analyst judgement, used only as a sanity bound on the market-implied perpetual growth rate.</t>
  </si>
  <si>
    <t xml:space="preserve">  Other Income Schedule </t>
  </si>
  <si>
    <t>Treasury and other income</t>
  </si>
  <si>
    <t>Yield applied to the opening treasury balance, so no circular reference</t>
  </si>
  <si>
    <t>Feeds the Adjusted EBITDA add-back on the IS and the dilution build</t>
  </si>
  <si>
    <t>── FRONT MATTER</t>
  </si>
  <si>
    <t>Scope, definitions and the investment conclusion</t>
  </si>
  <si>
    <t>Model period, Adjusted EBITDA definition, headline valuation and recommendation, full tab guide</t>
  </si>
  <si>
    <t xml:space="preserve">     └─ OpMetrics and Ratios read off the statements; Beta Calc → ERP &amp; Rf → WACC feeds the DCF</t>
  </si>
  <si>
    <t xml:space="preserve">     └─ DCF and SOTP value the business; Sensitivity and Scenarios stress it; Scenarios is probability-weighted to an expected value</t>
  </si>
  <si>
    <t xml:space="preserve">     └─ Dashboard / Memo / Variant_View / Reverse_DCF turn the valuation into a decision; Checks gates the whole thing — read it first</t>
  </si>
  <si>
    <t>Management is firmly on track to reach 3,000 stores by March 2027. they may aim for 3,500 to 4,000 stores by March 2027 to sustain Net Order Value (NOV) growth above 100% year-on-year.</t>
  </si>
  <si>
    <t>DCF ↔ SOTP RECONCILIATION</t>
  </si>
  <si>
    <t>STEP 1 — Restate the DCF as an enterprise value at FY2030E</t>
  </si>
  <si>
    <t>DCF enterprise value, today</t>
  </si>
  <si>
    <t xml:space="preserve">   of which: PV of FCFF FY2027E–FY2030E (the SOTP captures none of this)</t>
  </si>
  <si>
    <t>PV of the business beyond FY2030E</t>
  </si>
  <si>
    <t>Discount factor to FY2030E (4 years at WACC)</t>
  </si>
  <si>
    <t>DCF-implied enterprise value at FY2030E</t>
  </si>
  <si>
    <t>SOTP enterprise value at FY2030E</t>
  </si>
  <si>
    <t>Difference (INR Cr)</t>
  </si>
  <si>
    <t>STEP 2 — Express the gap as an exit multiple, like-for-like</t>
  </si>
  <si>
    <t>FY2030E total adjusted EBITDA (IS)</t>
  </si>
  <si>
    <t>DCF-implied FY2030E exit multiple</t>
  </si>
  <si>
    <t>SOTP blended exit multiple applied</t>
  </si>
  <si>
    <t>Difference (turns of FY2030E EBITDA)</t>
  </si>
  <si>
    <t>STEP 3 — Value bridge, today's money (INR Cr)</t>
  </si>
  <si>
    <t>Add: FY2027E–FY2030E interim FCFF, which the SOTP omits</t>
  </si>
  <si>
    <t>Add: exit-multiple uplift (difference in turns × FY2030E EBITDA, discounted)</t>
  </si>
  <si>
    <t>= SOTP present value of enterprise value, today</t>
  </si>
  <si>
    <t>Check vs row 13 (must be nil)</t>
  </si>
  <si>
    <t>STEP 4 — What each page has to believe for the other to be right</t>
  </si>
  <si>
    <t>(a) Raise the DCF to the SOTP:</t>
  </si>
  <si>
    <t xml:space="preserve">   Terminal value at FY2034E the DCF would need</t>
  </si>
  <si>
    <t xml:space="preserve">   Implied terminal growth rate (g) required</t>
  </si>
  <si>
    <t xml:space="preserve">   Memo: risk-free rate (Rf) — the ceiling for nominal g</t>
  </si>
  <si>
    <t>(b) Bring the SOTP down to the DCF:</t>
  </si>
  <si>
    <t xml:space="preserve">   Blended exit multiple required (vs applied, above)</t>
  </si>
  <si>
    <t xml:space="preserve">   Blinkit multiple required, holding the other four segments constant</t>
  </si>
  <si>
    <t xml:space="preserve">   Memo: Blinkit multiple currently applied</t>
  </si>
  <si>
    <t xml:space="preserve">   Memo: implied Blinkit EV / FY2030E NOV at the required multiple</t>
  </si>
  <si>
    <t>STEP 5 — Proposed resolution (illustrative — the live DCF and SOTP inputs above are unchanged)</t>
  </si>
  <si>
    <t>Candidate terminal growth rate (g) — change this cell to test</t>
  </si>
  <si>
    <t>DCF enterprise value today at the candidate g</t>
  </si>
  <si>
    <t>DCF value per share at the candidate g (INR)</t>
  </si>
  <si>
    <t>Implied FY2030E blended exit multiple at the candidate g</t>
  </si>
  <si>
    <t>Implied Blinkit multiple at the candidate g, other segments held</t>
  </si>
  <si>
    <t>SOTP value per share once rebased to that multiple (INR)</t>
  </si>
  <si>
    <t>Remaining spread between the two pages</t>
  </si>
  <si>
    <t>FOCO share of net new dark stores</t>
  </si>
  <si>
    <t xml:space="preserve">  Net new FOCO stores added</t>
  </si>
  <si>
    <t xml:space="preserve">  Net new COCO stores added</t>
  </si>
  <si>
    <t>FOCO dark stores (EOY)</t>
  </si>
  <si>
    <t>COCO dark stores (EOY)</t>
  </si>
  <si>
    <t xml:space="preserve">  Check: COCO + FOCO less total dark stores (must be nil)</t>
  </si>
  <si>
    <t>COCO plus FOCO store counts tie to the total dark store base</t>
  </si>
  <si>
    <t>FOCO share of the installed dark store base (FY2026A seed)</t>
  </si>
  <si>
    <t>FOCO share of the installed dark store base</t>
  </si>
  <si>
    <t>50% of the FY2026A base</t>
  </si>
  <si>
    <t>Indicative rent per dark store per year (company leases all stores)</t>
  </si>
  <si>
    <t xml:space="preserve">  Store ownership mix — COCO (company-operated) vs FOCO (local-partner operated; Eternal funds capex and holds the lease on both)</t>
  </si>
  <si>
    <t>Accounting treatment of partner-operated stores</t>
  </si>
  <si>
    <t>No financial difference vs company-operated</t>
  </si>
  <si>
    <t>Net new stores x the partner share above. Rounded to whole stores.</t>
  </si>
  <si>
    <t>Taken as the residual against total dark stores on row 17 rather than accumulated independently, so the split can never drift away from the store count that actually drives revenue. Peaks near 2,966 and plateaus.</t>
  </si>
  <si>
    <t xml:space="preserve">Management's stated long-term attempt and priority is that every new store is eventually run by a local partner, adding more trustworthy franchisees rather than expanding the company-run estate. Modelled as a ramp rather than a step: the 50% start is what the realised data implies, since partner share of the base held near half from FY23 to FY26 while the base grew several-fold, which is only possible if net new adds were already running near 50% partner-run. </t>
  </si>
  <si>
    <t>Incremental borrowing rate (implied by FY25A-FY26A lease interest)</t>
  </si>
  <si>
    <t>Monthly cash rent per store (implied by FY2026A)</t>
  </si>
  <si>
    <t xml:space="preserve">  ↳ contractual rent escalation p.a.</t>
  </si>
  <si>
    <t>Lease term (months) — implied by FY2026A ROU additions per store</t>
  </si>
  <si>
    <t>New ROU / lease liability per net new dark store — PV of the rent stream</t>
  </si>
  <si>
    <t>Rent paid on Ind AS 116 leases (average stores x contractual rent)</t>
  </si>
  <si>
    <t xml:space="preserve">  ↳ implied growth in lease rent paid</t>
  </si>
  <si>
    <t>Derived, not assumed: average of the FY2025A and FY2026A rates implied by lease interest accretion over the average lease liability (10.5% and 11.1%). Replaces a hardcoded 9.0%, which the actuals do not support.</t>
  </si>
  <si>
    <t>FY2026A total lease payments of 838 Cr divided by average dark stores of 1,772 and by 12. Covers the whole leased estate - stores, warehousing and offices - expressed per store, which is consistent with how ROU additions per store are derived below.</t>
  </si>
  <si>
    <t>Judgement. Typical Indian commercial lease escalation is around 5% p.a. or 15% every three years. Not disclosed by Eternal. This is the single most sensitive input in the lease rebuild.</t>
  </si>
  <si>
    <t>Solved with NPER from the FY2026A actuals: the term that discounts the derived monthly rent back to the ROU asset actually recognised per net new store. 152 months is about 12.7 years, consistent with long lock-in dark store leases.</t>
  </si>
  <si>
    <t>PV of the contractual rent stream at the incremental borrowing rate over the implied term. Reproduces the FY2026A actual of 3.26 Cr per store by construction. Replaces a flat 2.00 Cr placeholder that had no link to rent, term or discount rate.</t>
  </si>
  <si>
    <t>Rebuilt: average stores during the year times the contractual monthly rent times 12, escalated. Previously an independent growth ladder that had rent per store FALLING from 47 lakh to 24 lakh a year by FY2034E, which no lease contract would produce.</t>
  </si>
  <si>
    <t>The former margin input ladder, now reframed as the margin a fully company-operated network would earn. Sourced to management guidance of 5-6% steady state on NOV.</t>
  </si>
  <si>
    <t>Mgmt: NOV growth to 18.8% YoY in Q4FY26, 'inching closer to our long-term expectation of 20%+' (Q4FY26 letter, Q1/Q7). Modelled at 20% in FY27&amp; FY28 then fading to 13% as base because IBEF says CAGR till FY34 is 17-18% , and new players emerging in business like flipkart,ondc ,others.Mgt :margins have remained stable even as the order mix has shifted towards lower-value orders. Ultimately, we are optimizing for absolute Adjusted EBITDA (and not %), and the current tactics are working well to drive that ,future growth is the reduction of the minimum order value (MOV) for free delivery to INR 99 for Gold members(Q3,Q4FY25-26),still modelled at near inflation.</t>
  </si>
  <si>
    <t xml:space="preserve"> This reproduces the databook's own disclosed net AOV of 365 / 385 / 388 for FY24-FY26 exactly, which validates the wiring. FY23 (348) has no disclosed counterpart , the databook publishes net AOV only from FY24, since NOV was first reported that year. See Data_Sources row 38.</t>
  </si>
  <si>
    <t>Quick commerce NOV. FY23 5,690 and FY24 10,503 per Eternal's Annual Report FY2024-25,  implies a net AOV of 517 on 203 mn orders against a disclosed Q4FY24 net AOV of 511; FY23 is consistent with management's stated 104% FY23-FY26 NOV CAGR in the Q4FY26 letter (5,690 to 48,568 = 104.4%). FY25 22,371 (4,061 + 4,928 + 6,020 + 7,362) and FY26 48,568 (9,203 + 11,679 + 13,300 + 14,386): Eternal Q4FY25 and Q4FY26 Shareholders' Letters, Annexure A. FY23 is not a full-year comparable — Blinkit was consolidated only from 10-Aug-22 and Q1/Q2FY23 are unaudited MIS figures.</t>
  </si>
  <si>
    <t>Memo GOV, retained for reference only — the NOV row is the model's order-value basis. FY23 6,449 on a full-year unaudited MIS basis (quarterly 11.72 + 14.82 + 17.49 + 20.46 INR bn): Zomato Q4FY23 Shareholders' Letter, Annexure A, https://b.zmtcdn.com/investor-relations/4dbd068492199a12eee4cd3ffca15fe4_1684493677.pdf. FY24 12,469 (2,140 + 2,760 + 3,542 + 4,027): Zomato Q4FY24 Shareholders' Letter</t>
  </si>
  <si>
    <t xml:space="preserve">Dark stores at period end. Q4FY26 letter, Annexure A: 1,301 (Mar-25) to 2,243 (Mar-26). Earlier years 377 (Q4FY23) and 526 (Q4FY24) from Zomato Q4FY24 Shareholders' Letter, Annexure A </t>
  </si>
  <si>
    <t>Disclosure layer only. Eternal funds the capex (recognised as PPE), holds the Ind AS 116 right-of-use asset and lease liability, and pays the rent on BOTH formats; the local partner supplies day-to-day operations. Because no driver differs between the two, this block deliberately has no effect on revenue, EBITDA, capex, leases or valuation . it exists to show how much of the network is partner-run.</t>
  </si>
  <si>
    <t xml:space="preserve">Q2 FY23 shareholders' letter (10 Nov 2022) disclosed that almost half the dark store network was run by local partners, reiterated on later calls as roughly 50/50. Applied to the FY2026A closing base of 2,243 stores. </t>
  </si>
  <si>
    <t>Going-out NOV grew 42% YoY in FY26 (mgmt asks investors to read the annual number, Q4FY26 letter Q9). Path sized to mgmt's $3bn NOV by FY30 guidance (Q9) and the analyst has taken flat 25% for beyond, as they will plan to go for international events too, if they are sizing up in the big and go through after bookmyshow as the competitor is that range.</t>
  </si>
  <si>
    <t>A.  REPORTED P&amp;L (IND AS)</t>
  </si>
  <si>
    <t>B.  PRE-IND AS 116 EBITDA BRIDGE</t>
  </si>
  <si>
    <t>-</t>
  </si>
  <si>
    <t>1. There is no bank debt. The only leverage is the Ind AS 116 lease book, which is expanding with the dark store estate and  lease liabilities roughly doubled in FY26 (2,045 to 4,592) as Blinkit added 942 stores.</t>
  </si>
  <si>
    <t>2. On a net basis the group is deeply net cash: INR 17,972 Cr of treasury against INR 4,592 Cr of leases at FY26. Leverage is therefore not a solvency question and  it is a question of how fast treasury is consumed by store capex and working capital.</t>
  </si>
  <si>
    <t>3. Cash rent is the number that matters, not the lease liability. Rent is 1.5% of adjusted revenue but 0.9% of B2C NOV and  every 10bps of rent leakage is meaningful against a 5-6% target NOV margin in quick commerce.</t>
  </si>
  <si>
    <t>2. The cycle is still short in absolute terms because payables (36 days on COGS) fund most of the inventory (26 days). Lengthening brand terms as scale grows is the cheapest source of funding available to the business.</t>
  </si>
  <si>
    <t>3. Receivables are structurally tiny (12 days) and consumers pay at checkout. The receivable book is brand advertising and Hyperpure trade credit, not consumer credit.</t>
  </si>
  <si>
    <t>5. FY25 'other current assets' as reported include INR 2,948 Cr of bank balances that are counted inside treasury on the BS tab and only the non-treasury portion (INR 3,693 Cr) is treated as working capital here to avoid double-counting cash.</t>
  </si>
  <si>
    <t>Added the  review. The model prices Blinkit off group-average EBITDA per store, which blends mature and immature vintages. A single dark store is the unit of capital allocation here  if it does not pay back, store growth destroys value however good the group average looks.</t>
  </si>
  <si>
    <t xml:space="preserve">Mature-market premium plus India country risk premium. Analyst input —Damodaran </t>
  </si>
  <si>
    <t xml:space="preserve"> Reconciled at SOTP rows 28-75: on a like-for-like FY2030E basis the DCF implies 14.7x against the SOTP's 27.6x; the gap is entirely the exit multiple, and terminal growth cannot close it.</t>
  </si>
  <si>
    <t>Now linked to the Blume-adjusted beta on the Beta Calc tab, not typed. Note the consistency test on Beta Calc row 20: the sheet's own R-squared and volatilities imply a raw beta of 1.71, against the 1.22 stated on row 13.</t>
  </si>
  <si>
    <t>Uncalibrated SOTP enterprise value at the multiples above</t>
  </si>
  <si>
    <t>DCF enterprise value today, carried forward to FY2030E</t>
  </si>
  <si>
    <t>SOTP valuation rests on a documented, defensible anchor</t>
  </si>
  <si>
    <t>Gross margin step down is explained</t>
  </si>
  <si>
    <t>TABLE 5 — Value per share today (INR): the NON-BLINKIT segments</t>
  </si>
  <si>
    <t>Food delivery, District, Hyperpure and Others combined FY2030E Adjusted EBITDA against the blended exit multiple applied to them. Blinkit is held at its base enterprise value, so this isolates how much of the equity story sits outside quick commerce. Base case is the centre cell.</t>
  </si>
  <si>
    <t>Non-Blinkit EBITDA \ blended exit multiple</t>
  </si>
  <si>
    <t>Country</t>
  </si>
  <si>
    <t>FY end</t>
  </si>
  <si>
    <t>STOCK &amp; MARKET</t>
  </si>
  <si>
    <t>P/E (x)</t>
  </si>
  <si>
    <t>INCOME STATEMENT</t>
  </si>
  <si>
    <t>Revenue (adjusted)</t>
  </si>
  <si>
    <t>EBITDA (reported, incl Ind AS 116)</t>
  </si>
  <si>
    <t>EBITDA margin %</t>
  </si>
  <si>
    <t>Net income</t>
  </si>
  <si>
    <t>Revenue growth YoY %</t>
  </si>
  <si>
    <t>Shareholders' equity</t>
  </si>
  <si>
    <t>Enterprise value (incl lease debt)</t>
  </si>
  <si>
    <t>EV / EBITDA (x)</t>
  </si>
  <si>
    <t>P / Sales (x)</t>
  </si>
  <si>
    <t>Order value (NOV / GOV)</t>
  </si>
  <si>
    <t>United States</t>
  </si>
  <si>
    <t>China</t>
  </si>
  <si>
    <t>EBITDA negative</t>
  </si>
  <si>
    <t xml:space="preserve"> EBITDA negative</t>
  </si>
  <si>
    <t>OPERATING DRIVERS (FY2026A → FY2030E) — my view only; not decomposable from the share price</t>
  </si>
  <si>
    <t>BALANCE SHEET TURNS — flagged in the final review</t>
  </si>
  <si>
    <t>FY2030E order value / revenue</t>
  </si>
  <si>
    <t>COHERENCE CHECK: exit multiple ladder — bull &gt; base &gt; bear</t>
  </si>
  <si>
    <t>Added after the review found bear at 18x sitting ABOVE base at 14.0x, which the growth-and-margin coherence test could not see.</t>
  </si>
  <si>
    <t xml:space="preserve">  Add: Share-based payment expense (non-cash)</t>
  </si>
  <si>
    <t xml:space="preserve">  Cash, bank balances &amp; treasury investments (company cash-bridge basis)</t>
  </si>
  <si>
    <t xml:space="preserve">  Memo: audited total assets (input)</t>
  </si>
  <si>
    <t>MANUAL – OPEN</t>
  </si>
  <si>
    <t xml:space="preserve">  Other non-current assets (FY25A–26A: audited total assets less disclosed lines; forecast held flat)</t>
  </si>
  <si>
    <t>Balance check: Total assets − Total equity &amp; liabilities (must be 0)</t>
  </si>
  <si>
    <t xml:space="preserve">  Change in imbalance vs prior year (forecast integrity, must be 0)</t>
  </si>
  <si>
    <t xml:space="preserve">  Interest paid (lease interest + other finance costs)</t>
  </si>
  <si>
    <t xml:space="preserve">  Historical: balancing residual to reported closing cash (NOT a reported line – MANUAL – OPEN); forecast: equity issuance (nil)</t>
  </si>
  <si>
    <t>CASH FLOW STATEMENT — Eternal Limited, consolidated (INR Cr). ANALYST BRIDGE, not the reported Ind AS statement: historical columns close to BS cash through a disclosed residual (row 27); forecast is fully derived.</t>
  </si>
  <si>
    <t>Blinkit throughput ladder selector (1 = Ladder A documented, 2 = Ladder B as-received)</t>
  </si>
  <si>
    <t>NOV per day, per store — OPERATIVE (selected ladder)</t>
  </si>
  <si>
    <t xml:space="preserve">  Ladder A — documented ladder (rationale in P20)</t>
  </si>
  <si>
    <t xml:space="preserve">  Ladder B — ladder typed in Revenue Schedule H66:N66 as received</t>
  </si>
  <si>
    <t>Historical restaurant-business revenue (FY24A–FY26A) only. The duplicate forecast that sat in H40:O40 (ending ₹54,929 Cr) was deleted; the single operative Hyperpure forecast is Revenue Schedule row 83, driven by row 41 growth (each year reads its own column).</t>
  </si>
  <si>
    <t xml:space="preserve">  Hyperpure non-restaurant revenue (B2B supplies to non-restaurant customers)</t>
  </si>
  <si>
    <t>MANUAL – OPEN. Held at nil from FY27E on the stated rationale that non-restaurant B2B supply (largely to Blinkit) ends with the 1P transition. No locatable source in the workbook; FY26A was ₹1,644 Cr (Revenue Schedule!F84). Vipul to supply the disclosure.</t>
  </si>
  <si>
    <t>Other expenses (% of revenue from operations)</t>
  </si>
  <si>
    <t>Driver replaces the former balancing line. Starts from the FY26A actual ratio (G77 = 12.9%, Cost Schedule!G28) and steps down by B92 each year (operating leverage on tech, outsourced support, G&amp;A) to a floor of B93. Step and floor are ANALYST JUDGEMENT, no external source — confirm or replace. Wrong if: payment-gateway and tech costs scale with NOV rather than revenue, or the 1P gross-up keeps the ratio falling faster than modelled.</t>
  </si>
  <si>
    <t xml:space="preserve">  Other expenses: annual step-down in % of revenue (pp)</t>
  </si>
  <si>
    <t xml:space="preserve">  Other expenses: floor (% of revenue from operations)</t>
  </si>
  <si>
    <t>Analyst judgement – MANUAL – OPEN (no source). Drives Assumptions row 77.</t>
  </si>
  <si>
    <t>Analyst judgement – MANUAL – OPEN (no source). Roughly the FY27E level the old balancing line implied (5.5%).</t>
  </si>
  <si>
    <t>Forecast = revenue from operations × Assumptions row 77 (% of revenue driver). No longer a balancing line; EBITDA is now the output of this waterfall.</t>
  </si>
  <si>
    <t xml:space="preserve">  Check: waterfall EBITDA vs IS EBITDA (must be nil; fails if any IS line link breaks)</t>
  </si>
  <si>
    <t xml:space="preserve">  Check: IS EBITDA vs Cost Schedule waterfall (must be nil)</t>
  </si>
  <si>
    <t xml:space="preserve">  Comparison: waterfall EBITDA (row 16) less segment-margin EBITDA (row 57) — NOT forced to nil</t>
  </si>
  <si>
    <t>Positive = cost waterfall more profitable than the guided segment margins; negative = segment guidance requires cost efficiencies the waterfall does not assume. FY23A gap reflects missing FY23 SBP and rent inputs (IS!D56, ESOP Schedule!C5).</t>
  </si>
  <si>
    <t>Segment-margin EBITDA (reported basis, comparison)</t>
  </si>
  <si>
    <t>PEER MULTIPLES TABLE — anchors the SOTP (trailing, latest reported FY; live links to rows 4–22 above)</t>
  </si>
  <si>
    <t>Peer</t>
  </si>
  <si>
    <t>FY end (row 4)</t>
  </si>
  <si>
    <t>EV (row 19, reporting ccy)</t>
  </si>
  <si>
    <t>Order value (row 22)</t>
  </si>
  <si>
    <t>EV / order value (x)</t>
  </si>
  <si>
    <t>Market-data (price) date</t>
  </si>
  <si>
    <t>MANUAL – OPEN: verify EV &amp; price date</t>
  </si>
  <si>
    <t>Peer median EV / order value (x) — SOTP anchor</t>
  </si>
  <si>
    <t>Peer median EV / EBITDA (x) — positive-EBITDA peers only</t>
  </si>
  <si>
    <t>Note: EV row 19 for DoorDash nets a typed 3,053 (D19 formula) and Meituan 80,252 (F19); price dates are not recorded in the workbook — both listed under INPUTS NEEDED. Delivery Hero EV is blank.</t>
  </si>
  <si>
    <t>SOTP EXIT MULTIPLES — EV / FY2030E order value (EV / revenue for Hyperpure), anchored to Comparable!E30</t>
  </si>
  <si>
    <t>Food delivery EV / NOV (x)</t>
  </si>
  <si>
    <t>Quick commerce EV / NOV (x)</t>
  </si>
  <si>
    <t>Going-out EV / NOV (x)</t>
  </si>
  <si>
    <t>B2B supplies (Hyperpure) EV / revenue (x)</t>
  </si>
  <si>
    <t>Others (incl. Bistro) multiple (x)</t>
  </si>
  <si>
    <t>SOTP: years from valuation date (FY2026A) to exit year (FY2030E)</t>
  </si>
  <si>
    <t>SUM-OF-THE-PARTS — FY2030E order value (revenue for Hyperpure) × peer-anchored EV / order value multiples (Assumptions rows 148–152)</t>
  </si>
  <si>
    <t>No value ascribed while loss-making (multiple = 0, Assumptions!B152)</t>
  </si>
  <si>
    <t>CALIBRATION TO THE DCF — SWITCHED OFF (factor must be 1.00; SOTP is now independent)</t>
  </si>
  <si>
    <t>Calibration factor applied to every segment multiple (1.00 = off)</t>
  </si>
  <si>
    <t>DCF vs SOTP gap — SOTP value per share less DCF value per share (INR)</t>
  </si>
  <si>
    <t>DCF vs SOTP gap — SOTP / DCF − 1</t>
  </si>
  <si>
    <t>Base = midpoint of bear (10x) and bull (20x) — MANUAL – OPEN. No longer derived from the SOTP. Only one positive-EBITDA peer (DoorDash, Comparable!F27) exists, so no peer median is usable yet.</t>
  </si>
  <si>
    <t xml:space="preserve">  Blinkit Adjusted EBITDA margin input (% of NOV) — feeds row 50</t>
  </si>
  <si>
    <t xml:space="preserve">  PARTNER ECONOMICS UNDER FOCO — block deleted (rows 57–65): it netted to nil by construction (old H62 = H61) and its commission/payout inputs had no source. Row 56 is the margin input.</t>
  </si>
  <si>
    <t>(deleted) D&amp;A % of adjusted revenue — fed nothing; IS takes D&amp;A from FA_Schedule</t>
  </si>
  <si>
    <t>(deleted) Finance cost % of adjusted revenue — fed nothing; IS takes finance costs from Lease_Schedule</t>
  </si>
  <si>
    <t>(deleted) NWC % of revenue increase — fed nothing (and carried #REF!); NWC is built on days in WC_Schedule</t>
  </si>
  <si>
    <t xml:space="preserve">  Memo: Blinkit gross profit FY26A (input for G71)</t>
  </si>
  <si>
    <t>MANUAL – OPEN: value was buried in the old G71 formula (=12706/…); source document not recorded. Vipul to cite (Q4FY26 letter, Blinkit segment table).</t>
  </si>
  <si>
    <t>Long-run India CPI inflation (analyst)</t>
  </si>
  <si>
    <t>Long-run Indian nominal GDP growth (analyst)</t>
  </si>
  <si>
    <t>Raw beta (levered) — placeholder carried from as-received model</t>
  </si>
  <si>
    <t>Shares outstanding — alternative, market-data implied (crore)</t>
  </si>
  <si>
    <t>Unabsorbed tax losses carried forward at FY2026A (INR Cr)</t>
  </si>
  <si>
    <t>Statutory corporate tax rate (concessional regime incl. surcharge &amp; cess)</t>
  </si>
  <si>
    <t>MANUAL – OPEN (analyst; no source). Previously buried as 0.045 in 'ERP &amp; Rf'!B29.</t>
  </si>
  <si>
    <t>MANUAL – OPEN (analyst; no source). Single value now used by Reverse_DCF!B20 and the TGR note (previously 10% in P140 vs 10.5% in Reverse_DCF!B20).</t>
  </si>
  <si>
    <t>MANUAL – OPEN. No regression was run (no NSE price series in the workbook) and no dated third-party beta is cited. 1.22 is the as-received typed figure, kept only so WACC computes. Replace with a dated vendor beta or a regression on supplied weekly prices.</t>
  </si>
  <si>
    <t>MANUAL – OPEN. Review notes market data implies ~960–965 crore shares (market cap ÷ price). Used only for the memo at DCF row 35; B141 (919) remains operative until the latest shareholding-pattern filing is checked.</t>
  </si>
  <si>
    <t>MANUAL – OPEN. Opening unabsorbed losses / MAT credit not in the workbook; nil assumed. Feeds Tax_Schedule row 5.</t>
  </si>
  <si>
    <t>Previously typed in 'ERP &amp; Rf'!B13; now the single source for the statutory rate (Tax_Schedule, Kd).</t>
  </si>
  <si>
    <t>TAX SCHEDULE — tax-loss carry-forward (replaces the hand-typed effective-rate glide, Assumptions H91:O91)</t>
  </si>
  <si>
    <t>Profit before tax (IS row 26)</t>
  </si>
  <si>
    <t>Opening unabsorbed tax losses</t>
  </si>
  <si>
    <t>Add: tax losses created (PBT &lt; 0)</t>
  </si>
  <si>
    <t>Less: losses utilised against profit</t>
  </si>
  <si>
    <t>Closing unabsorbed tax losses</t>
  </si>
  <si>
    <t>Taxable income after loss set-off</t>
  </si>
  <si>
    <t>Statutory tax rate</t>
  </si>
  <si>
    <t>Tax expense (to IS row 27; negative = charge)</t>
  </si>
  <si>
    <t>Effective tax rate on PBT (to Assumptions row 91)</t>
  </si>
  <si>
    <t>Limitations: ignores MAT / minimum tax and entity-level mismatch (FY26A effective rate was 40% because tax is paid on treasury income in profitable entities while losses sit elsewhere — Assumptions!G91). Deferred tax is not modelled; book tax = cash tax.</t>
  </si>
  <si>
    <t>Effective tax rate (FY27E+: output of Tax_Schedule)</t>
  </si>
  <si>
    <t>FY24A–FY26A actual (tax ÷ PBT). Forecast is no longer typed: it is the output of the tax-loss carry-forward schedule (Tax_Schedule row 12) at the statutory rate in B157.</t>
  </si>
  <si>
    <t>NO REGRESSION RUN. The typed regression statistics (alpha, R², SE, observations, volatilities) were deleted.</t>
  </si>
  <si>
    <t>Supply NSE weekly prices for ETERNAL and Nifty 500 (Aug-2021 onward) to run it, or a dated vendor beta.</t>
  </si>
  <si>
    <t>Placeholder from Assumptions!B154 — MANUAL – OPEN (not a regression output, no dated third-party source).</t>
  </si>
  <si>
    <t>deleted</t>
  </si>
  <si>
    <t>B. BETA INPUT (regression output block deleted)</t>
  </si>
  <si>
    <t>Feeds 'ERP &amp; Rf'!B6 and Assumptions!B136 (cost of equity).</t>
  </si>
  <si>
    <t>Flows to 'ERP &amp; Rf'!B6 and Assumptions!B136</t>
  </si>
  <si>
    <t>MANUAL – OPEN: no source</t>
  </si>
  <si>
    <t>Memo: value per share at alternative share count (Assumptions!B155, MANUAL – OPEN)</t>
  </si>
  <si>
    <t>Sustainable ROIC in perpetuity (DCF terminal cross-check)</t>
  </si>
  <si>
    <t>Analyst judgement – MANUAL – OPEN. Moved from DCF!B47.</t>
  </si>
  <si>
    <t>Technology, warehousing, Hyperpure facilities and maintenance capex. +50 Cr a year is a smooth analyst ladder with no basis — MANUAL – OPEN.</t>
  </si>
  <si>
    <t>Assumptions!G25</t>
  </si>
  <si>
    <t>Cited as the Q2 FY23 shareholders' letter (10 Nov 2022); that document is not logged in rows 3–39. MANUAL – OPEN: add URL and page.</t>
  </si>
  <si>
    <t>Assumptions!H26:O26</t>
  </si>
  <si>
    <t>50% flat FY2027E–FY2034E</t>
  </si>
  <si>
    <t>Analyst judgement. The earlier 'ramping to 100% by FY2032E' wording did not match the cells and was removed. No locatable source — MANUAL – OPEN.</t>
  </si>
  <si>
    <t>Assumptions rows 24–31 (disclosure only)</t>
  </si>
  <si>
    <t>Unsourced statement of accounting treatment — MANUAL – OPEN: cite the filing.</t>
  </si>
  <si>
    <t>Assumptions!B146 (feeds Reverse_DCF!B20)</t>
  </si>
  <si>
    <t>Assumptions!B158 (feeds DCF!B47)</t>
  </si>
  <si>
    <t>FX rate for US$ conversions (INR per US$)</t>
  </si>
  <si>
    <t>Store maturity ramp — % of mature throughput, Year 1 / 2 / 3 / 4+ (B:E)</t>
  </si>
  <si>
    <t>MANUAL – OPEN: FX assumption, no dated source (moved from OpMetrics row 19 formulas).</t>
  </si>
  <si>
    <t>Placeholder fund mandate — MANUAL – OPEN (moved from Dashboard!B29).</t>
  </si>
  <si>
    <t>Placeholder fund mandate — MANUAL – OPEN (moved from Dashboard!B39).</t>
  </si>
  <si>
    <t>Placeholder fund mandate — MANUAL – OPEN (moved from Dashboard!B40).</t>
  </si>
  <si>
    <t>Analyst judgement — MANUAL – OPEN; company does not disclose cohort curves (moved from OpMetrics!C48:F48).</t>
  </si>
  <si>
    <t>B2C NOV (US$ bn; INR Cr × 10 ÷ FX in Assumptions!B159 ÷ 1,000)</t>
  </si>
  <si>
    <t>Balance sheet balances (Total assets − Total E&amp;L = 0) in every year, FY23A–FY34E</t>
  </si>
  <si>
    <t>Forecast integrity: change in BS imbalance is nil every forecast year</t>
  </si>
  <si>
    <t>Error cells (#REF!, #VALUE!, #DIV/0!, #N/A) across EVERY tab except Checks</t>
  </si>
  <si>
    <t>Cash stays non-negative in every forecast year (no funding line modelled)</t>
  </si>
  <si>
    <t>Scenarios flex growth, margins and exit multiple only; capex and working-capital intensity are not flexed. Cannot be automated until the Scenarios tab carries capex drivers.</t>
  </si>
  <si>
    <t>Beta comes from a run regression or a dated third-party source</t>
  </si>
  <si>
    <t>Food delivery NOV = orders × net AOV in every forecast year</t>
  </si>
  <si>
    <t>Live structural test of the food-delivery driver.</t>
  </si>
  <si>
    <t>E.  REPAIR GUARDS (added in the rebuild)</t>
  </si>
  <si>
    <t>Blinkit throughput on Revenue Schedule = Assumptions operative ladder</t>
  </si>
  <si>
    <t>Revenue Schedule G66:N66 link to Assumptions H20:O20 (selector B19).</t>
  </si>
  <si>
    <t>Single Hyperpure forecast (no duplicate in Assumptions H40:O40)</t>
  </si>
  <si>
    <t>Operative line is Revenue Schedule row 83.</t>
  </si>
  <si>
    <t>Share-based payment added back in CFS every forecast year</t>
  </si>
  <si>
    <t>CFS row 10 vs ESOP Schedule row 5.</t>
  </si>
  <si>
    <t>ROU renewals and terminations equal lease-liability renewals and terminations</t>
  </si>
  <si>
    <t>FA_Schedule rows 21/23 vs Lease_Schedule rows 8/10.</t>
  </si>
  <si>
    <t>IS EBITDA ties to Cost Schedule waterfall (FY23A–FY34E)</t>
  </si>
  <si>
    <t>Two-source tie; other expenses is now driven (Assumptions row 77), not a plug.</t>
  </si>
  <si>
    <t>FY23A segment bridge reconciles to reported EBITDA</t>
  </si>
  <si>
    <t>IS!D56 and ESOP Schedule!C5 are MANUAL – OPEN.</t>
  </si>
  <si>
    <t>SOTP calibration switched off (factor = 1.00)</t>
  </si>
  <si>
    <t>SOTP!D24.</t>
  </si>
  <si>
    <t>Tax losses never negative</t>
  </si>
  <si>
    <t>Tax_Schedule row 8.</t>
  </si>
  <si>
    <t>Open manual items flagged anywhere in the workbook (cells containing 'MANUAL – OPEN')</t>
  </si>
  <si>
    <t>Each flagged cell is listed under INPUTS NEEDED in the change log.</t>
  </si>
  <si>
    <t>Number of checks failing or open (FAIL / REVIEW / MANUAL – OPEN)</t>
  </si>
  <si>
    <t>D.  UNRESOLVED ASSUMPTIONS (computed where possible; MANUAL – OPEN otherwise)</t>
  </si>
  <si>
    <t>Colour convention (applied literally across all calculation tabs): BLUE font = typed input / historical actual; BLACK = formula on the same sheet; GREEN = formula linking to another sheet; YELLOW fill = MANUAL – OPEN item or key judgement input awaiting a source.</t>
  </si>
  <si>
    <t>Every input is tagged with its source in column P of Assumptions and logged on the Data_Sources tab. Items without a locatable source are marked MANUAL – OPEN (yellow) and counted on Checks!B5.</t>
  </si>
  <si>
    <t>SOTP value / share (FY2030E order value × peer EV/NOV, discounted at WACC; independent of the DCF)</t>
  </si>
  <si>
    <t>SOTP — FY2030E segment order value × peer-anchored EV/NOV multiples (Comparable peer table), discounted at WACC; DCF–SOTP gap shown openly</t>
  </si>
  <si>
    <t>Sensitivity — five tables flexing WACC, terminal growth, exit multiple and the operating drivers</t>
  </si>
  <si>
    <t>Five sensitivity tables</t>
  </si>
  <si>
    <t>WACC x terminal growth, exit multiple and operating-driver grids (see Sensitivity tab)</t>
  </si>
  <si>
    <t>Sum-of-the-parts (independent)</t>
  </si>
  <si>
    <t>FY2030E order value × peer EV/NOV (Comparable rows 24–31); calibration to DCF switched off; gap to DCF at SOTP!D25</t>
  </si>
  <si>
    <t>Peer benchmarking and multiples table</t>
  </si>
  <si>
    <t>Swiggy, DoorDash, Delivery Hero, Meituan — latest full year; peer multiples table rows 24–31</t>
  </si>
  <si>
    <t>Beta input (placeholder, MANUAL – OPEN), Blume adjustment, peer betas (unsourced)</t>
  </si>
  <si>
    <t>Schedule-driven assets and liabilities; no balancing line; genuine balance check in row 33</t>
  </si>
  <si>
    <t>Segment roll-up, share-based payment and lease-rent bridge; tax from Tax_Schedule (loss carry-forward)</t>
  </si>
  <si>
    <t>Assumptions → Revenue Schedule → Cost Schedule (EBITDA is the waterfall output) → IS → Tax_Schedule → BS / CFS</t>
  </si>
  <si>
    <t xml:space="preserve">     └─ Cost Schedule builds the reported expense waterfall; segment-margin EBITDA is kept as a comparison (IS row 59)</t>
  </si>
  <si>
    <t>DCF row 37. Explicit-period FCFF is negative in PV terms, so the valuation rests beyond the forecast horizon.</t>
  </si>
  <si>
    <t>Assumptions rows 19–23 (ladder selector). FY27E step has no disclosed bridge — MANUAL – OPEN.</t>
  </si>
  <si>
    <t>Exit multiples rest on a two-peer median (Swiggy, DoorDash) with unverified price dates</t>
  </si>
  <si>
    <t>Opening tax losses not sourced (Tax_Schedule uses nil opening balance)</t>
  </si>
  <si>
    <t>Tax_Schedule now carries forward forecast losses; opening FY26A unabsorbed losses are MANUAL – OPEN (Assumptions!B156).</t>
  </si>
  <si>
    <t>Two consecutive quarters of flat or declining Blinkit NOV per store per day while store count keeps rising (cannibalisation, not density).</t>
  </si>
  <si>
    <t>Regulatory or restaurant-body action that caps platform fees — removes the highest-margin growth lever.</t>
  </si>
  <si>
    <t>Segment-margin Adjusted EBITDA roll-up (IS row 48); compare the cost-waterfall EBITDA on IS row 16 and the gap on IS row 59.</t>
  </si>
  <si>
    <t>Years of value destruction before the crossover shown in C22.</t>
  </si>
  <si>
    <t>Guard check: fails if a bull growth driver falls below base or base below bear.</t>
  </si>
  <si>
    <t>Forecast cash rent = average stores × monthly rent per store × 12 × escalation (Assumptions row 86). Interest accretion (row 6) and principal (row 22) are derived from it.</t>
  </si>
  <si>
    <t>Restaurant / non-restaurant split: FY25A–FY26A values typed from disclosure; forecast restaurant line grows at Assumptions row 41 (own column); non-restaurant from Assumptions row 42 (MANUAL – OPEN).</t>
  </si>
  <si>
    <t>Scale, profitability, EV and order value filled; peer multiples computed on Comparable rows 24–31. Price/market-data dates not recorded — MANUAL – OPEN.</t>
  </si>
  <si>
    <t>NOTE: column H ('Model cell(s)') was written for an earlier layout and some references are stale; the operative links are the formulas themselves. MANUAL – OPEN: refresh column H.</t>
  </si>
  <si>
    <t>CHANGE LOG — rebuild against the SSEI review (9/20). Impact figures are recorded at the time of each step (sequential, cumulative); section B 'After' column is live.</t>
  </si>
  <si>
    <t>A. CHANGE LOG</t>
  </si>
  <si>
    <t>Step</t>
  </si>
  <si>
    <t>Cell(s)</t>
  </si>
  <si>
    <t>What was wrong</t>
  </si>
  <si>
    <t>What I changed</t>
  </si>
  <si>
    <t>Impact (recorded at the step)</t>
  </si>
  <si>
    <t>FA_Schedule!G21:N21</t>
  </si>
  <si>
    <t>ROU renewals = 10% of liability renewals (₹45.9 vs ₹459.2 Cr FY27E)</t>
  </si>
  <si>
    <t>Plug growth falls by ₹11,458 Cr cumulative; DCF unchanged</t>
  </si>
  <si>
    <t>FA_Schedule!G23:N23</t>
  </si>
  <si>
    <t>ROU terminations on ROU base vs liability base (₹826 Cr mismatch)</t>
  </si>
  <si>
    <t>Remaining plug growth = SBP only (850…1,000)</t>
  </si>
  <si>
    <t>CFS row 10 (new), CFS!D11:O11</t>
  </si>
  <si>
    <t>Share-based payment never added back in CFO</t>
  </si>
  <si>
    <t>New row 'Add: share-based payment (non-cash)' = ESOP Schedule row 5; subtotal = SUM(rows 6:10)</t>
  </si>
  <si>
    <t>BS row 9 flat at ₹2,468 Cr FY27E–FY34E (movement 0 every year)</t>
  </si>
  <si>
    <t>BS!H9:O9, BS row 33–34</t>
  </si>
  <si>
    <t>Row 9 was a balancing plug; balance check could not fail</t>
  </si>
  <si>
    <t>Row 9 forecast = FY26A value (flat); row 33 = TA − TE&amp;L; row 34 = change in imbalance</t>
  </si>
  <si>
    <t>Check now ₹15 Cr (FY26A audited gap); stress test +₹100 Cr breaks it</t>
  </si>
  <si>
    <t>BS!E6</t>
  </si>
  <si>
    <t>FY24A PPE blank</t>
  </si>
  <si>
    <t>Linked to Lease_Schedule!H8:O8 (same amount to asset and liability)</t>
  </si>
  <si>
    <t>Linked to Lease_Schedule!H10:O10 (liability base in both schedules)</t>
  </si>
  <si>
    <t>New row 'Add: share-based payment (non-cash)' linked to ESOP Schedule row 5; subtotal sums rows 6:10</t>
  </si>
  <si>
    <t>BS!H9:O9, BS rows 33–34</t>
  </si>
  <si>
    <t>Row 9 forecast held at FY26A value; row 33 = TA less TE&amp;L; row 34 = change in imbalance</t>
  </si>
  <si>
    <t>Linked to FA_Schedule!D9 (₹305 Cr)</t>
  </si>
  <si>
    <t>FY24A residual row 9 1,507 → 1,202</t>
  </si>
  <si>
    <t>BS!G15, BS row 18, BS!F9:G9</t>
  </si>
  <si>
    <t>Cash typed 16,356 vs company 17,972; TA 40,721 vs audited 40,736</t>
  </si>
  <si>
    <t>Cash 17,972 (cash-bridge basis incl. non-current treasury); audited TA input row 18; row 9 FY25A–26A = audited TA less disclosed lines (G9 = 867)</t>
  </si>
  <si>
    <t>DCF 175.61 → 177.36 (+₹1.76/sh); BS!G17 = 40,736</t>
  </si>
  <si>
    <t>BS!D9:E9</t>
  </si>
  <si>
    <t>FY23A negative 1,404 'asset'; FY23–24 residual</t>
  </si>
  <si>
    <t>Flagged MANUAL – OPEN (no audited TA for FY23A/FY24A in files)</t>
  </si>
  <si>
    <t>Open</t>
  </si>
  <si>
    <t>CFS!D24:O24</t>
  </si>
  <si>
    <t>FY26A principal used total finance cost (446)</t>
  </si>
  <si>
    <t>Linked to Lease_Schedule row 22 every year (471)</t>
  </si>
  <si>
    <t>Absorbed by historical residual; no valuation effect</t>
  </si>
  <si>
    <t>CFS!E27:G27, D13:G13, A1</t>
  </si>
  <si>
    <t>Residual 'other financing'; tax paid blank; header claimed Ind AS</t>
  </si>
  <si>
    <t>Residual relabelled MANUAL – OPEN; tax paid flagged; header says analyst bridge</t>
  </si>
  <si>
    <t>Open — reported lines needed</t>
  </si>
  <si>
    <t>IS!D57, IS!E56:G56, Lease_Schedule!E9:F9, E21:E24</t>
  </si>
  <si>
    <t>IS!D57 typed; FY24 rent typed on IS with blank lease schedule</t>
  </si>
  <si>
    <t>D57 is the bridge formula; rent typed once in Lease_Schedule row 9, IS row 56 links to it; FY24 interest flagged</t>
  </si>
  <si>
    <t>IS!D59 FY23A bridge gap of ₹427 Cr exposed (FY23 SBP/rent missing)</t>
  </si>
  <si>
    <t>Revenue Schedule!G66:N66, Assumptions!B19:O23</t>
  </si>
  <si>
    <t>Throughput typed 1,250→1,550 on calc sheet; documented ladder fed nothing</t>
  </si>
  <si>
    <t>Selector B19; Ladder A (documented) row 22, Ladder B (as received) row 23; row 20 = CHOOSE; RS links row 20</t>
  </si>
  <si>
    <t>Ladder A: DCF 173.26 / SOTP 170.15 / EV 204.07; Ladder B: 177.47 / 174.36 / 206.02 (pre-Step 6)</t>
  </si>
  <si>
    <t>Revenue Schedule!G83:N83, Assumptions!H40:O40</t>
  </si>
  <si>
    <t>Hyperpure read prior-year growth; duplicate forecast</t>
  </si>
  <si>
    <t>Own-column growth; duplicate deleted</t>
  </si>
  <si>
    <t>FY27E Hyperpure 5,133 → 5,211 Cr; FY34E 54,106 → 54,929</t>
  </si>
  <si>
    <t>Revenue Schedule!G84:N84, Assumptions row 42</t>
  </si>
  <si>
    <t>Non-restaurant revenue typed 0 on calc sheet</t>
  </si>
  <si>
    <t>Input row 42 (0, MANUAL – OPEN)</t>
  </si>
  <si>
    <t>No value change; open</t>
  </si>
  <si>
    <t>Cost Schedule!H12:O12, Assumptions row 77, B92:B93</t>
  </si>
  <si>
    <t>Other expenses was a plug to segment EBITDA</t>
  </si>
  <si>
    <t>Revenue × % driver: FY26A 12.9%, step-down 1.0pp a year, 5.5% floor</t>
  </si>
  <si>
    <t>FY27E EBITDA 3,069 → (5,291) Cr; DCF 173.26 → 93.12</t>
  </si>
  <si>
    <t>IS!D18:O18, Cost Schedule!D21:O21, IS row 59</t>
  </si>
  <si>
    <t>Checks nil by construction</t>
  </si>
  <si>
    <t>Two-source ties (IS vs Cost waterfall); new comparison row vs segment-margin EBITDA</t>
  </si>
  <si>
    <t>Gap (8,362) FY27E to (10,819) Cr FY34E — shown, not forced</t>
  </si>
  <si>
    <t>SOTP!D24, C4:C8, D8, D11, A1, C3</t>
  </si>
  <si>
    <t>Calibrated 0.508 to DCF; labels said EBITDA; Others carried (508)</t>
  </si>
  <si>
    <t>D24 = 1.00; multiples = peer median EV/NOV (Comparable!E30, 0.84x); Others 0; exit years input</t>
  </si>
  <si>
    <t>SOTP 90.06 → 238.61; gap to DCF at SOTP!D25:D26</t>
  </si>
  <si>
    <t>Comparable rows 24–32; Assumptions!B147:B153</t>
  </si>
  <si>
    <t>No dated peer table; B148:B151 unused</t>
  </si>
  <si>
    <t>Peer table (EV/NOV, EV/EBITDA, price-date flags); B148:B152 drive SOTP</t>
  </si>
  <si>
    <t>Open: price dates and EVs to verify</t>
  </si>
  <si>
    <t>Scenarios!C14</t>
  </si>
  <si>
    <t>Base multiple derived from calibrated SOTP</t>
  </si>
  <si>
    <t>Midpoint of bear/bull (15x), MANUAL – OPEN</t>
  </si>
  <si>
    <t>Base 172.5 → 178.5; EV 205.97 → 205.87</t>
  </si>
  <si>
    <t>Tax_Schedule (new), IS!H27:O27, Assumptions!H91:O91</t>
  </si>
  <si>
    <t>Hand-typed tax glide 32% → 25.17%</t>
  </si>
  <si>
    <t>Loss carry-forward schedule at statutory rate (B157); opening losses input B156 (MANUAL – OPEN)</t>
  </si>
  <si>
    <t>DCF 93.12 → 96.75</t>
  </si>
  <si>
    <t>Beta Calc!B13:B20, Assumptions!B154</t>
  </si>
  <si>
    <t>Typed regression output presented as run</t>
  </si>
  <si>
    <t>Regression block deleted; raw beta placeholder 1.22 flagged; peer betas flagged</t>
  </si>
  <si>
    <t>WACC unchanged; open</t>
  </si>
  <si>
    <t>Assumptions!B145:B146, Reverse_DCF!B20, ERP &amp; Rf!B29</t>
  </si>
  <si>
    <t>GDP 10% vs 10.5%; inflation buried</t>
  </si>
  <si>
    <t>Single inputs (4.5%, 10.5%) linked</t>
  </si>
  <si>
    <t>No value change</t>
  </si>
  <si>
    <t>Assumptions P-notes (P18, P20, P28, P29, P31, P41, P49–P53, P69, P71, P85, P112, P119, P126, P127, P135, P136, P138, P140, P141); Data_Sources B50–D55</t>
  </si>
  <si>
    <t>Notes contradicted cells, addressed a third party, or cited stale rows</t>
  </si>
  <si>
    <t>Rewritten as live formulas; smooth ladders flagged yellow</t>
  </si>
  <si>
    <t>—</t>
  </si>
  <si>
    <t>Assumptions rows 55–65, 88, 89, 113</t>
  </si>
  <si>
    <t>Dead blocks; #REF! in E113:G113</t>
  </si>
  <si>
    <t>Partner block deleted (margin row 56 wired direct); rows 88/89/113 deleted</t>
  </si>
  <si>
    <t>DCF row 35, Assumptions!B155</t>
  </si>
  <si>
    <t>Share count 919 unverified</t>
  </si>
  <si>
    <t>Memo at 965 crore</t>
  </si>
  <si>
    <t>DCF 96.75 → 92.14 at 965 (−4.8%)</t>
  </si>
  <si>
    <t>Checks!B5:B45</t>
  </si>
  <si>
    <t>Typed or calibrated passes</t>
  </si>
  <si>
    <t>Every status a formula or MANUAL – OPEN; error scan covers all other tabs; repair guards added</t>
  </si>
  <si>
    <t>12 items failing or open</t>
  </si>
  <si>
    <t>Dashboard!B29, B39:B40; OpMetrics!C48:F48; DCF!B47; Assumptions!G71, F91, G91; WC_Schedule!F15</t>
  </si>
  <si>
    <t>Inputs on calc sheets; buried constants</t>
  </si>
  <si>
    <t>Moved to Assumptions B158:B163 / G67; F15 sums F12:F14</t>
  </si>
  <si>
    <t>FY25A WC total 5,815 → 7,835 (memo only)</t>
  </si>
  <si>
    <t>OpMetrics!D19:G19</t>
  </si>
  <si>
    <t>10× error (US$1.04 bn)</t>
  </si>
  <si>
    <t>× 10 ÷ FX (Assumptions!B159)</t>
  </si>
  <si>
    <t>FY26A US$10.43 bn</t>
  </si>
  <si>
    <t>All calculation tabs</t>
  </si>
  <si>
    <t>Colour legend not honoured</t>
  </si>
  <si>
    <t>Blue = typed, black = formula, green = cross-sheet, yellow = open</t>
  </si>
  <si>
    <t>Cover, Index, Dashboard, Memo, Variant_View, SOTP!A76, Share Count P16, Checks comments, WC A37, OpMetrics A59/A64, FA A55</t>
  </si>
  <si>
    <t>Prose numbers not in any cell</t>
  </si>
  <si>
    <t>Rewritten with live cell references; Index C45/D45/D56 and Cover A4 corrected</t>
  </si>
  <si>
    <t>Recommendation unchanged: AVOID / SELL</t>
  </si>
  <si>
    <t>B. KEY OUTPUTS — BEFORE vs AFTER</t>
  </si>
  <si>
    <t>Output</t>
  </si>
  <si>
    <t>Before (as received, snapshot)</t>
  </si>
  <si>
    <t>After (live)</t>
  </si>
  <si>
    <t>Change</t>
  </si>
  <si>
    <t>DCF value per share (INR)</t>
  </si>
  <si>
    <t>Scenario expected value per share (INR)</t>
  </si>
  <si>
    <t>Upside / (downside) — DCF</t>
  </si>
  <si>
    <t>Upside / (downside) — SOTP</t>
  </si>
  <si>
    <t>Upside / (downside) — expected value</t>
  </si>
  <si>
    <t>Recommendation</t>
  </si>
  <si>
    <t>AVOID / SELL</t>
  </si>
  <si>
    <t>Checks failing or open (Checks!B5)</t>
  </si>
  <si>
    <t>n.m. (typed passes)</t>
  </si>
  <si>
    <t>Balance check by year (BS row 33: Total assets − Total E&amp;L). Before: 0 every year, forced by the row 9 plug.</t>
  </si>
  <si>
    <t>Year</t>
  </si>
  <si>
    <t>After — imbalance (live)</t>
  </si>
  <si>
    <t>After — change in imbalance (live)</t>
  </si>
  <si>
    <t>Before — plug growth (row 9 movement)</t>
  </si>
  <si>
    <t>C. INPUTS I NEED FROM VIPUL</t>
  </si>
  <si>
    <t>Cell</t>
  </si>
  <si>
    <t>Why</t>
  </si>
  <si>
    <t>Audited total assets FY23A, FY24A</t>
  </si>
  <si>
    <t>BS!D18:E18</t>
  </si>
  <si>
    <t>FY23A–FY24A row 9 stops being a residual (fixes D9 negative 1,404)</t>
  </si>
  <si>
    <t>FY26A liabilities split (₹15 Cr gap)</t>
  </si>
  <si>
    <t>BS rows 21–29, col G</t>
  </si>
  <si>
    <t>Which liability line is short vs audited TA 40,736</t>
  </si>
  <si>
    <t>Reported tax paid FY23A–FY26A</t>
  </si>
  <si>
    <t>CFS!D13:G13</t>
  </si>
  <si>
    <t>Audited cash flow statements</t>
  </si>
  <si>
    <t>Reported financing lines FY24A–FY26A</t>
  </si>
  <si>
    <t>CFS!E27:G27</t>
  </si>
  <si>
    <t>Replace residual</t>
  </si>
  <si>
    <t>FY23A share-based payment and FY23A rent</t>
  </si>
  <si>
    <t>ESOP Schedule!C5; IS!D56</t>
  </si>
  <si>
    <t>Closes IS!D59 gap of 427</t>
  </si>
  <si>
    <t>FY24A lease interest</t>
  </si>
  <si>
    <t>Lease_Schedule!E21</t>
  </si>
  <si>
    <t>FY24 cash flow statement</t>
  </si>
  <si>
    <t>Opening unabsorbed tax losses / MAT credit at FY26A</t>
  </si>
  <si>
    <t>Assumptions!B156</t>
  </si>
  <si>
    <t>Drives Tax_Schedule</t>
  </si>
  <si>
    <t>Shares outstanding (latest shareholding pattern)</t>
  </si>
  <si>
    <t>Assumptions!B141 / B155</t>
  </si>
  <si>
    <t>919 vs ~965 crore</t>
  </si>
  <si>
    <t>Dated vendor beta, or NSE weekly prices for a regression</t>
  </si>
  <si>
    <t>Assumptions!B154</t>
  </si>
  <si>
    <t>Replaces placeholder 1.22</t>
  </si>
  <si>
    <t>Peer betas with sources</t>
  </si>
  <si>
    <t>Beta Calc!C29:C32</t>
  </si>
  <si>
    <t>ERP dataset, date and link</t>
  </si>
  <si>
    <t>Assumptions!B135</t>
  </si>
  <si>
    <t>Long-run CPI and nominal GDP sources</t>
  </si>
  <si>
    <t>Assumptions!B145:B146</t>
  </si>
  <si>
    <t>Peer EVs, net cash and price dates (DoorDash 3,053 and Meituan 80,252 net cash buried in Comparable!D19/F19; Delivery Hero EV blank)</t>
  </si>
  <si>
    <t>Comparable rows 19, 26–29</t>
  </si>
  <si>
    <t>Hyperpure (B2B) and District peer multiples</t>
  </si>
  <si>
    <t>Assumptions!B150:B151</t>
  </si>
  <si>
    <t>Blinkit throughput bridge FY26A 756 → FY27E 1,200 (document/page)</t>
  </si>
  <si>
    <t>Assumptions!P20; rows 22–23</t>
  </si>
  <si>
    <t>Q1FY27 guidance documents cited as 'supplied by user'</t>
  </si>
  <si>
    <t>Assumptions!P49:P53, P69</t>
  </si>
  <si>
    <t>Source for Blinkit FY26A gross profit 12,706</t>
  </si>
  <si>
    <t>Assumptions!G67</t>
  </si>
  <si>
    <t>Hyperpure non-restaurant revenue forecast basis</t>
  </si>
  <si>
    <t>Assumptions!H42:O42</t>
  </si>
  <si>
    <t>FOCO share sources (Q2 FY23 letter URL/page)</t>
  </si>
  <si>
    <t>Data_Sources!D53:D55</t>
  </si>
  <si>
    <t>Other-expenses step-down and floor (judgement to confirm)</t>
  </si>
  <si>
    <t>Assumptions!B92:B93</t>
  </si>
  <si>
    <t>Largest single value driver after the rebuild</t>
  </si>
  <si>
    <t>Scenario base exit multiple</t>
  </si>
  <si>
    <t>FX, hurdle, mandate limits, maturity ramp, sustainable ROIC</t>
  </si>
  <si>
    <t>Assumptions!B158:E163</t>
  </si>
  <si>
    <t>D. SELF-SCORE vs the review's 4 dimensions</t>
  </si>
  <si>
    <t>Score /5</t>
  </si>
  <si>
    <t>Reason</t>
  </si>
  <si>
    <t>Framework Soundness</t>
  </si>
  <si>
    <t>Throughput linked, Hyperpure fixed, other expenses driven, SOTP independent and peer-anchored, tax-loss schedule added. Held back: other-expenses glide and scenario base multiple are judgement; no funding line for the negative-cash years.</t>
  </si>
  <si>
    <t>Completeness &amp; Readability</t>
  </si>
  <si>
    <t>Every Checks status computed or MANUAL – OPEN and counted; colour convention applied; inputs moved to Assumptions; #REF! cleared; error scan on every tab. Held back: many flagged open cells; Data_Sources column H stale.</t>
  </si>
  <si>
    <t>Linkage Integrity</t>
  </si>
  <si>
    <t>Plug removed; both root errors fixed; balance check genuine and stress-tested; integrity row 0 every forecast year. Held back: ₹15 Cr FY26A gap and FY23A–FY24A residuals need audited data; historical CFS still closes by a disclosed residual.</t>
  </si>
  <si>
    <t>Assumption Rationale</t>
  </si>
  <si>
    <t>Price-setting notes rebuilt (source / start / bridge / what breaks it) as live text; contradictions removed. Held back: throughput step, ERP, beta and TGR still lack locatable sources — flagged, not fixed.</t>
  </si>
  <si>
    <t>TOTAL</t>
  </si>
  <si>
    <t>13 / 20</t>
  </si>
  <si>
    <t>Honest estimate; Rationale cannot rise until the open sources are supplied.</t>
  </si>
  <si>
    <t>Broken WC_Schedule references (E113:G113)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</si>
</sst>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64" formatCode="0.0%;\(0.0%\);&quot;-&quot;"/>
    <numFmt numFmtId="165" formatCode="#,##0;\(#,##0\);&quot;-&quot;"/>
    <numFmt numFmtId="166" formatCode="0.0"/>
    <numFmt numFmtId="167" formatCode="0.0&quot;x&quot;"/>
    <numFmt numFmtId="168" formatCode="0.0%"/>
    <numFmt numFmtId="169" formatCode="#,##0.0"/>
    <numFmt numFmtId="170" formatCode="#,##0;\(#,##0\)"/>
    <numFmt numFmtId="171" formatCode="0.000"/>
    <numFmt numFmtId="172" formatCode="0.0%;\(0.0%\)"/>
    <numFmt numFmtId="173" formatCode="0.00&quot;x&quot;"/>
    <numFmt numFmtId="174" formatCode="0.00;\(0.00\)"/>
    <numFmt numFmtId="175" formatCode="#,##0.0;\(#,##0.0\)"/>
    <numFmt numFmtId="176" formatCode="0.0000"/>
    <numFmt numFmtId="177" formatCode="d/mmm/yy"/>
    <numFmt numFmtId="178" formatCode="0.00%;\(0.00%\);&quot;-&quot;"/>
    <numFmt numFmtId="179" formatCode="#,##0;\(#,##0\);\-"/>
    <numFmt numFmtId="180" formatCode="#,##0.0;\(#,##0.0\);\-"/>
    <numFmt numFmtId="181" formatCode="0.0%;\(0.0%\);\-"/>
    <numFmt numFmtId="182" formatCode="#,##0.00;\(#,##0.00\);\-"/>
    <numFmt numFmtId="183" formatCode="0.00%;\(0.00%\);\-"/>
    <numFmt numFmtId="184" formatCode="0.0\x"/>
    <numFmt numFmtId="185" formatCode="0.00\x"/>
    <numFmt numFmtId="186" formatCode="\+0.00%;\(0.00%\);\-"/>
    <numFmt numFmtId="187" formatCode="\+0.0&quot;x&quot;;\(0.0&quot;x&quot;\);\-"/>
    <numFmt numFmtId="188" formatCode="\+0.0%;\(0.0%\);\-"/>
    <numFmt numFmtId="189" formatCode="#,##0.00;\(#,##0.00\)"/>
    <numFmt numFmtId="190" formatCode="#,##0;\(#,##0\);0"/>
  </numFmts>
  <fonts count="59" x14ac:knownFonts="1">
    <font>
      <sz val="11"/>
      <color theme="1"/>
      <name val="Calibri"/>
      <family val="2"/>
      <scheme val="minor"/>
    </font>
    <font>
      <b/>
      <sz val="11"/>
      <color theme="1"/>
      <name val="Calibri"/>
      <family val="2"/>
      <scheme val="minor"/>
    </font>
    <font>
      <b/>
      <sz val="16"/>
      <color rgb="FFFFFFFF"/>
      <name val="Calibri"/>
      <family val="2"/>
      <scheme val="minor"/>
    </font>
    <font>
      <i/>
      <sz val="11"/>
      <color theme="1"/>
      <name val="Calibri"/>
      <family val="2"/>
      <scheme val="minor"/>
    </font>
    <font>
      <b/>
      <sz val="14"/>
      <color rgb="FFFFFFFF"/>
      <name val="Calibri"/>
      <family val="2"/>
      <scheme val="minor"/>
    </font>
    <font>
      <sz val="11"/>
      <color rgb="FF0000FF"/>
      <name val="Calibri"/>
      <family val="2"/>
      <scheme val="minor"/>
    </font>
    <font>
      <sz val="9"/>
      <color theme="1"/>
      <name val="Calibri"/>
      <family val="2"/>
      <scheme val="minor"/>
    </font>
    <font>
      <sz val="9"/>
      <color indexed="81"/>
      <name val="Tahoma"/>
      <family val="2"/>
    </font>
    <font>
      <b/>
      <sz val="9"/>
      <color indexed="81"/>
      <name val="Tahoma"/>
      <family val="2"/>
    </font>
    <font>
      <b/>
      <sz val="11"/>
      <color rgb="FF0000FF"/>
      <name val="Calibri"/>
      <family val="2"/>
      <scheme val="minor"/>
    </font>
    <font>
      <sz val="11"/>
      <color rgb="FF008000"/>
      <name val="Calibri"/>
      <family val="2"/>
      <scheme val="minor"/>
    </font>
    <font>
      <sz val="11"/>
      <color rgb="FF000000"/>
      <name val="Calibri"/>
      <family val="2"/>
      <scheme val="minor"/>
    </font>
    <font>
      <i/>
      <sz val="9"/>
      <color theme="1"/>
      <name val="Calibri"/>
      <family val="2"/>
      <scheme val="minor"/>
    </font>
    <font>
      <sz val="11"/>
      <color theme="1"/>
      <name val="Calibri"/>
      <family val="2"/>
      <scheme val="minor"/>
    </font>
    <font>
      <b/>
      <sz val="11"/>
      <color rgb="FF000000"/>
      <name val="Calibri"/>
      <family val="2"/>
      <scheme val="minor"/>
    </font>
    <font>
      <b/>
      <i/>
      <sz val="11"/>
      <color theme="5" tint="0.39997558519241921"/>
      <name val="Calibri"/>
      <family val="2"/>
      <scheme val="minor"/>
    </font>
    <font>
      <b/>
      <sz val="12"/>
      <color rgb="FFFFFFFF"/>
      <name val="Calibri"/>
      <family val="2"/>
      <scheme val="minor"/>
    </font>
    <font>
      <sz val="11"/>
      <color theme="4"/>
      <name val="Calibri"/>
      <family val="2"/>
      <scheme val="minor"/>
    </font>
    <font>
      <b/>
      <sz val="11"/>
      <color theme="4"/>
      <name val="Calibri"/>
      <family val="2"/>
      <scheme val="minor"/>
    </font>
    <font>
      <b/>
      <sz val="11"/>
      <color theme="5" tint="0.39997558519241921"/>
      <name val="Calibri"/>
      <family val="2"/>
      <scheme val="minor"/>
    </font>
    <font>
      <b/>
      <i/>
      <sz val="11"/>
      <color theme="1"/>
      <name val="Calibri"/>
      <family val="2"/>
      <scheme val="minor"/>
    </font>
    <font>
      <i/>
      <sz val="11"/>
      <color rgb="FF000000"/>
      <name val="Calibri"/>
      <family val="2"/>
      <scheme val="minor"/>
    </font>
    <font>
      <b/>
      <i/>
      <sz val="11"/>
      <color rgb="FF008000"/>
      <name val="Calibri"/>
      <family val="2"/>
      <scheme val="minor"/>
    </font>
    <font>
      <sz val="9"/>
      <color rgb="FF000000"/>
      <name val="Calibri"/>
      <family val="2"/>
      <scheme val="minor"/>
    </font>
    <font>
      <b/>
      <i/>
      <sz val="11"/>
      <color rgb="FF000000"/>
      <name val="Calibri"/>
      <family val="2"/>
      <scheme val="minor"/>
    </font>
    <font>
      <b/>
      <sz val="11"/>
      <color rgb="FF008000"/>
      <name val="Calibri"/>
      <family val="2"/>
      <scheme val="minor"/>
    </font>
    <font>
      <sz val="11"/>
      <color theme="1" tint="4.9989318521683403E-2"/>
      <name val="Calibri"/>
      <family val="2"/>
      <scheme val="minor"/>
    </font>
    <font>
      <b/>
      <sz val="11"/>
      <color theme="1" tint="4.9989318521683403E-2"/>
      <name val="Calibri"/>
      <family val="2"/>
      <scheme val="minor"/>
    </font>
    <font>
      <b/>
      <i/>
      <sz val="11"/>
      <color theme="4"/>
      <name val="Calibri"/>
      <family val="2"/>
      <scheme val="minor"/>
    </font>
    <font>
      <i/>
      <sz val="11"/>
      <color theme="4"/>
      <name val="Calibri"/>
      <family val="2"/>
      <scheme val="minor"/>
    </font>
    <font>
      <i/>
      <sz val="11"/>
      <color theme="0" tint="-0.34998626667073579"/>
      <name val="Calibri"/>
      <family val="2"/>
      <scheme val="minor"/>
    </font>
    <font>
      <b/>
      <i/>
      <sz val="9"/>
      <color theme="0" tint="-0.34998626667073579"/>
      <name val="Calibri"/>
      <family val="2"/>
      <scheme val="minor"/>
    </font>
    <font>
      <b/>
      <i/>
      <sz val="11"/>
      <color theme="0" tint="-0.34998626667073579"/>
      <name val="Calibri"/>
      <family val="2"/>
      <scheme val="minor"/>
    </font>
    <font>
      <b/>
      <i/>
      <sz val="11"/>
      <color theme="0" tint="-0.249977111117893"/>
      <name val="Calibri"/>
      <family val="2"/>
      <scheme val="minor"/>
    </font>
    <font>
      <b/>
      <sz val="18"/>
      <color theme="1"/>
      <name val="Calibri"/>
      <family val="2"/>
      <scheme val="minor"/>
    </font>
    <font>
      <b/>
      <sz val="14"/>
      <color theme="1"/>
      <name val="Calibri"/>
      <family val="2"/>
      <scheme val="minor"/>
    </font>
    <font>
      <b/>
      <sz val="16"/>
      <color theme="1"/>
      <name val="Calibri"/>
      <family val="2"/>
      <scheme val="minor"/>
    </font>
    <font>
      <sz val="9"/>
      <color theme="0" tint="-0.34998626667073579"/>
      <name val="Calibri"/>
      <family val="2"/>
      <scheme val="minor"/>
    </font>
    <font>
      <b/>
      <i/>
      <sz val="10"/>
      <color theme="0" tint="-0.34998626667073579"/>
      <name val="Calibri"/>
      <family val="2"/>
      <scheme val="minor"/>
    </font>
    <font>
      <sz val="11"/>
      <color theme="0" tint="-0.34998626667073579"/>
      <name val="Calibri"/>
      <family val="2"/>
      <scheme val="minor"/>
    </font>
    <font>
      <b/>
      <sz val="11"/>
      <color rgb="FF4472C4"/>
      <name val="Calibri"/>
      <family val="2"/>
      <scheme val="minor"/>
    </font>
    <font>
      <sz val="11"/>
      <color rgb="FF4472C4"/>
      <name val="Calibri"/>
      <family val="2"/>
      <scheme val="minor"/>
    </font>
    <font>
      <sz val="11"/>
      <color rgb="FFA6A6A6"/>
      <name val="Calibri"/>
      <family val="2"/>
      <scheme val="minor"/>
    </font>
    <font>
      <i/>
      <sz val="11"/>
      <color rgb="FF4472C4"/>
      <name val="Calibri"/>
      <family val="2"/>
      <scheme val="minor"/>
    </font>
    <font>
      <sz val="9"/>
      <color rgb="FFA6A6A6"/>
      <name val="Calibri"/>
      <family val="2"/>
      <scheme val="minor"/>
    </font>
    <font>
      <i/>
      <sz val="11"/>
      <color rgb="FFA6A6A6"/>
      <name val="Calibri"/>
      <family val="2"/>
      <scheme val="minor"/>
    </font>
    <font>
      <b/>
      <sz val="12"/>
      <color theme="1"/>
      <name val="Calibri"/>
      <family val="2"/>
      <scheme val="minor"/>
    </font>
    <font>
      <i/>
      <sz val="11"/>
      <color rgb="FF808080"/>
      <name val="Calibri"/>
      <family val="2"/>
      <scheme val="minor"/>
    </font>
    <font>
      <b/>
      <sz val="11"/>
      <color rgb="FFFFFFFF"/>
      <name val="Calibri"/>
      <family val="2"/>
      <scheme val="minor"/>
    </font>
    <font>
      <b/>
      <i/>
      <sz val="11"/>
      <color rgb="FF0000FF"/>
      <name val="Calibri"/>
      <family val="2"/>
      <scheme val="minor"/>
    </font>
    <font>
      <b/>
      <sz val="13"/>
      <color rgb="FFFFFFFF"/>
      <name val="Calibri"/>
      <family val="2"/>
      <scheme val="minor"/>
    </font>
    <font>
      <sz val="11"/>
      <color theme="9"/>
      <name val="Calibri"/>
      <family val="2"/>
      <scheme val="minor"/>
    </font>
    <font>
      <b/>
      <sz val="11"/>
      <color theme="9"/>
      <name val="Calibri"/>
      <family val="2"/>
      <scheme val="minor"/>
    </font>
    <font>
      <b/>
      <sz val="13"/>
      <color theme="1"/>
      <name val="Calibri"/>
      <family val="2"/>
      <scheme val="minor"/>
    </font>
    <font>
      <sz val="11"/>
      <color rgb="FFC00000"/>
      <name val="Calibri"/>
      <family val="2"/>
      <scheme val="minor"/>
    </font>
    <font>
      <i/>
      <sz val="11"/>
      <color rgb="FF008000"/>
      <name val="Calibri"/>
      <family val="2"/>
      <scheme val="minor"/>
    </font>
    <font>
      <i/>
      <sz val="11"/>
      <color rgb="FF0000FF"/>
      <name val="Calibri"/>
      <family val="2"/>
      <scheme val="minor"/>
    </font>
    <font>
      <b/>
      <sz val="9"/>
      <color rgb="FF008000"/>
      <name val="Calibri"/>
      <family val="2"/>
      <scheme val="minor"/>
    </font>
    <font>
      <b/>
      <sz val="12"/>
      <color rgb="FF000000"/>
      <name val="Calibri"/>
      <family val="2"/>
      <scheme val="minor"/>
    </font>
  </fonts>
  <fills count="15">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EDEDED"/>
        <bgColor indexed="64"/>
      </patternFill>
    </fill>
    <fill>
      <patternFill patternType="solid">
        <fgColor rgb="FFFFF2CC"/>
        <bgColor indexed="64"/>
      </patternFill>
    </fill>
    <fill>
      <patternFill patternType="solid">
        <fgColor rgb="FFFFFF00"/>
        <bgColor indexed="64"/>
      </patternFill>
    </fill>
    <fill>
      <patternFill patternType="solid">
        <fgColor rgb="FFD9E1F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1F4E79"/>
        <bgColor indexed="64"/>
      </patternFill>
    </fill>
    <fill>
      <patternFill patternType="solid">
        <fgColor rgb="FFC00000"/>
        <bgColor indexed="64"/>
      </patternFill>
    </fill>
    <fill>
      <patternFill patternType="solid">
        <fgColor theme="0" tint="-0.14999847407452621"/>
        <bgColor indexed="64"/>
      </patternFill>
    </fill>
    <fill>
      <patternFill patternType="solid">
        <fgColor theme="7" tint="0.59999389629810485"/>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ck">
        <color rgb="FFBFBFBF"/>
      </left>
      <right style="thick">
        <color rgb="FFBFBFBF"/>
      </right>
      <top style="thick">
        <color rgb="FFBFBFBF"/>
      </top>
      <bottom style="thick">
        <color rgb="FFBFBFBF"/>
      </bottom>
      <diagonal/>
    </border>
  </borders>
  <cellStyleXfs count="2">
    <xf numFmtId="0" fontId="0" fillId="0" borderId="0"/>
    <xf numFmtId="9" fontId="13" fillId="0" borderId="0" applyFont="0" applyFill="0" applyBorder="0" applyAlignment="0" applyProtection="0"/>
  </cellStyleXfs>
  <cellXfs count="433">
    <xf numFmtId="0" fontId="0" fillId="0" borderId="0" xfId="0"/>
    <xf numFmtId="0" fontId="2" fillId="2" borderId="0" xfId="0" applyFont="1" applyFill="1"/>
    <xf numFmtId="0" fontId="3" fillId="0" borderId="0" xfId="0" applyFont="1"/>
    <xf numFmtId="0" fontId="1" fillId="0" borderId="0" xfId="0" applyFont="1"/>
    <xf numFmtId="0" fontId="1" fillId="3" borderId="0" xfId="0" applyFont="1" applyFill="1"/>
    <xf numFmtId="0" fontId="4" fillId="2" borderId="0" xfId="0" applyFont="1" applyFill="1"/>
    <xf numFmtId="0" fontId="1" fillId="3" borderId="0" xfId="0" applyFont="1" applyFill="1" applyAlignment="1">
      <alignment horizontal="center"/>
    </xf>
    <xf numFmtId="0" fontId="3" fillId="0" borderId="0" xfId="0" applyFont="1" applyAlignment="1">
      <alignment horizontal="center"/>
    </xf>
    <xf numFmtId="0" fontId="1" fillId="4" borderId="0" xfId="0" applyFont="1" applyFill="1"/>
    <xf numFmtId="0" fontId="5" fillId="0" borderId="0" xfId="0" applyFont="1"/>
    <xf numFmtId="0" fontId="1" fillId="5" borderId="0" xfId="0" applyFont="1" applyFill="1"/>
    <xf numFmtId="0" fontId="1" fillId="0" borderId="0" xfId="0" applyFont="1" applyAlignment="1">
      <alignment horizontal="center"/>
    </xf>
    <xf numFmtId="0" fontId="1" fillId="5" borderId="0" xfId="0" applyFont="1" applyFill="1" applyAlignment="1">
      <alignment horizontal="center"/>
    </xf>
    <xf numFmtId="15" fontId="0" fillId="0" borderId="0" xfId="0" applyNumberFormat="1"/>
    <xf numFmtId="0" fontId="0" fillId="0" borderId="0" xfId="0" quotePrefix="1"/>
    <xf numFmtId="10" fontId="0" fillId="0" borderId="0" xfId="0" applyNumberFormat="1"/>
    <xf numFmtId="164" fontId="0" fillId="0" borderId="0" xfId="0" applyNumberFormat="1"/>
    <xf numFmtId="164" fontId="5" fillId="0" borderId="0" xfId="0" applyNumberFormat="1" applyFont="1"/>
    <xf numFmtId="165" fontId="0" fillId="0" borderId="0" xfId="0" applyNumberFormat="1"/>
    <xf numFmtId="3" fontId="5" fillId="0" borderId="0" xfId="0" applyNumberFormat="1" applyFont="1"/>
    <xf numFmtId="3" fontId="0" fillId="0" borderId="0" xfId="0" applyNumberFormat="1"/>
    <xf numFmtId="0" fontId="0" fillId="0" borderId="0" xfId="0" applyAlignment="1">
      <alignment wrapText="1"/>
    </xf>
    <xf numFmtId="0" fontId="1" fillId="3" borderId="0" xfId="0" applyFont="1" applyFill="1" applyAlignment="1">
      <alignment horizontal="center" wrapText="1"/>
    </xf>
    <xf numFmtId="0" fontId="6" fillId="0" borderId="0" xfId="0" applyFont="1" applyAlignment="1">
      <alignment wrapText="1"/>
    </xf>
    <xf numFmtId="0" fontId="0" fillId="0" borderId="0" xfId="0" applyAlignment="1">
      <alignment vertical="top" wrapText="1"/>
    </xf>
    <xf numFmtId="0" fontId="1" fillId="3" borderId="0" xfId="0" applyFont="1" applyFill="1" applyAlignment="1">
      <alignment horizontal="center" vertical="top" wrapText="1"/>
    </xf>
    <xf numFmtId="0" fontId="6" fillId="0" borderId="0" xfId="0" applyFont="1" applyAlignment="1">
      <alignment vertical="top" wrapText="1"/>
    </xf>
    <xf numFmtId="165" fontId="1" fillId="0" borderId="0" xfId="0" applyNumberFormat="1" applyFont="1"/>
    <xf numFmtId="166" fontId="0" fillId="0" borderId="0" xfId="0" applyNumberFormat="1"/>
    <xf numFmtId="165" fontId="9" fillId="0" borderId="0" xfId="0" applyNumberFormat="1" applyFont="1"/>
    <xf numFmtId="167" fontId="0" fillId="0" borderId="0" xfId="0" applyNumberFormat="1"/>
    <xf numFmtId="10" fontId="5" fillId="0" borderId="0" xfId="0" applyNumberFormat="1" applyFont="1"/>
    <xf numFmtId="2" fontId="5" fillId="0" borderId="0" xfId="0" applyNumberFormat="1" applyFont="1"/>
    <xf numFmtId="168" fontId="5" fillId="0" borderId="0" xfId="0" applyNumberFormat="1" applyFont="1"/>
    <xf numFmtId="169" fontId="5" fillId="0" borderId="0" xfId="0" applyNumberFormat="1" applyFont="1"/>
    <xf numFmtId="167" fontId="5" fillId="0" borderId="0" xfId="0" applyNumberFormat="1" applyFont="1"/>
    <xf numFmtId="2" fontId="0" fillId="0" borderId="0" xfId="0" applyNumberFormat="1"/>
    <xf numFmtId="168" fontId="0" fillId="0" borderId="0" xfId="0" applyNumberFormat="1"/>
    <xf numFmtId="170" fontId="0" fillId="0" borderId="0" xfId="0" applyNumberFormat="1"/>
    <xf numFmtId="170" fontId="1" fillId="0" borderId="0" xfId="0" applyNumberFormat="1" applyFont="1"/>
    <xf numFmtId="169" fontId="0" fillId="0" borderId="0" xfId="0" applyNumberFormat="1"/>
    <xf numFmtId="0" fontId="1" fillId="0" borderId="0" xfId="0" applyFont="1" applyAlignment="1">
      <alignment horizontal="center" wrapText="1"/>
    </xf>
    <xf numFmtId="170" fontId="0" fillId="0" borderId="0" xfId="0" applyNumberFormat="1" applyAlignment="1">
      <alignment wrapText="1"/>
    </xf>
    <xf numFmtId="170" fontId="1" fillId="0" borderId="0" xfId="0" applyNumberFormat="1" applyFont="1" applyAlignment="1">
      <alignment wrapText="1"/>
    </xf>
    <xf numFmtId="0" fontId="1" fillId="3" borderId="0" xfId="0" applyFont="1" applyFill="1" applyAlignment="1">
      <alignment wrapText="1"/>
    </xf>
    <xf numFmtId="170" fontId="5" fillId="0" borderId="0" xfId="0" applyNumberFormat="1" applyFont="1"/>
    <xf numFmtId="0" fontId="0" fillId="6" borderId="0" xfId="0" applyFill="1"/>
    <xf numFmtId="2" fontId="10" fillId="0" borderId="0" xfId="0" applyNumberFormat="1" applyFont="1"/>
    <xf numFmtId="164" fontId="1" fillId="0" borderId="0" xfId="0" applyNumberFormat="1" applyFont="1"/>
    <xf numFmtId="165" fontId="0" fillId="0" borderId="0" xfId="0" applyNumberFormat="1" applyAlignment="1">
      <alignment wrapText="1"/>
    </xf>
    <xf numFmtId="164" fontId="0" fillId="0" borderId="0" xfId="0" applyNumberFormat="1" applyAlignment="1">
      <alignment wrapText="1"/>
    </xf>
    <xf numFmtId="169" fontId="0" fillId="0" borderId="0" xfId="0" applyNumberFormat="1" applyAlignment="1">
      <alignment wrapText="1"/>
    </xf>
    <xf numFmtId="176" fontId="5" fillId="0" borderId="0" xfId="0" applyNumberFormat="1" applyFont="1"/>
    <xf numFmtId="0" fontId="1" fillId="0" borderId="0" xfId="0" applyFont="1" applyAlignment="1">
      <alignment wrapText="1"/>
    </xf>
    <xf numFmtId="0" fontId="12" fillId="0" borderId="0" xfId="0" applyFont="1"/>
    <xf numFmtId="0" fontId="14" fillId="3" borderId="0" xfId="0" applyFont="1" applyFill="1" applyAlignment="1">
      <alignment horizontal="center"/>
    </xf>
    <xf numFmtId="177" fontId="0" fillId="0" borderId="0" xfId="0" applyNumberFormat="1"/>
    <xf numFmtId="0" fontId="1" fillId="7" borderId="0" xfId="0" applyFont="1" applyFill="1"/>
    <xf numFmtId="14" fontId="0" fillId="0" borderId="0" xfId="0" applyNumberFormat="1"/>
    <xf numFmtId="165" fontId="10" fillId="0" borderId="0" xfId="0" applyNumberFormat="1" applyFont="1"/>
    <xf numFmtId="164" fontId="11" fillId="0" borderId="0" xfId="0" applyNumberFormat="1" applyFont="1"/>
    <xf numFmtId="0" fontId="15" fillId="0" borderId="0" xfId="0" applyFont="1"/>
    <xf numFmtId="0" fontId="16" fillId="2" borderId="0" xfId="0" applyFont="1" applyFill="1"/>
    <xf numFmtId="0" fontId="16" fillId="2" borderId="0" xfId="0" applyFont="1" applyFill="1" applyAlignment="1">
      <alignment vertical="top" wrapText="1"/>
    </xf>
    <xf numFmtId="3" fontId="10" fillId="0" borderId="0" xfId="0" applyNumberFormat="1" applyFont="1"/>
    <xf numFmtId="179" fontId="0" fillId="0" borderId="0" xfId="0" applyNumberFormat="1"/>
    <xf numFmtId="181" fontId="11" fillId="0" borderId="0" xfId="0" applyNumberFormat="1" applyFont="1"/>
    <xf numFmtId="181" fontId="10" fillId="0" borderId="0" xfId="0" applyNumberFormat="1" applyFont="1"/>
    <xf numFmtId="165" fontId="17" fillId="0" borderId="0" xfId="0" applyNumberFormat="1" applyFont="1"/>
    <xf numFmtId="179" fontId="17" fillId="0" borderId="0" xfId="0" applyNumberFormat="1" applyFont="1"/>
    <xf numFmtId="0" fontId="17" fillId="0" borderId="0" xfId="0" applyFont="1"/>
    <xf numFmtId="165" fontId="18" fillId="0" borderId="0" xfId="0" applyNumberFormat="1" applyFont="1"/>
    <xf numFmtId="168" fontId="15" fillId="0" borderId="0" xfId="1" applyNumberFormat="1" applyFont="1"/>
    <xf numFmtId="165" fontId="3" fillId="0" borderId="0" xfId="0" applyNumberFormat="1" applyFont="1"/>
    <xf numFmtId="0" fontId="0" fillId="4" borderId="0" xfId="0" applyFill="1"/>
    <xf numFmtId="0" fontId="20" fillId="0" borderId="0" xfId="0" applyFont="1"/>
    <xf numFmtId="0" fontId="21" fillId="0" borderId="0" xfId="0" applyFont="1"/>
    <xf numFmtId="164" fontId="10" fillId="0" borderId="0" xfId="0" applyNumberFormat="1" applyFont="1"/>
    <xf numFmtId="0" fontId="10" fillId="0" borderId="0" xfId="0" applyFont="1"/>
    <xf numFmtId="168" fontId="17" fillId="0" borderId="0" xfId="0" applyNumberFormat="1" applyFont="1"/>
    <xf numFmtId="0" fontId="11" fillId="0" borderId="0" xfId="0" applyFont="1"/>
    <xf numFmtId="3" fontId="17" fillId="0" borderId="0" xfId="0" applyNumberFormat="1" applyFont="1"/>
    <xf numFmtId="168" fontId="1" fillId="0" borderId="0" xfId="0" applyNumberFormat="1" applyFont="1"/>
    <xf numFmtId="0" fontId="0" fillId="0" borderId="0" xfId="0" applyAlignment="1">
      <alignment vertical="top"/>
    </xf>
    <xf numFmtId="0" fontId="1" fillId="3" borderId="0" xfId="0" applyFont="1" applyFill="1" applyAlignment="1">
      <alignment horizontal="center" vertical="top"/>
    </xf>
    <xf numFmtId="0" fontId="6" fillId="0" borderId="0" xfId="0" applyFont="1" applyAlignment="1">
      <alignment vertical="top"/>
    </xf>
    <xf numFmtId="0" fontId="15" fillId="0" borderId="0" xfId="0" applyFont="1" applyAlignment="1">
      <alignment vertical="top"/>
    </xf>
    <xf numFmtId="0" fontId="0" fillId="0" borderId="0" xfId="0" quotePrefix="1" applyAlignment="1">
      <alignment vertical="top"/>
    </xf>
    <xf numFmtId="168" fontId="19" fillId="0" borderId="0" xfId="1" applyNumberFormat="1" applyFont="1" applyAlignment="1">
      <alignment vertical="top"/>
    </xf>
    <xf numFmtId="0" fontId="0" fillId="4" borderId="0" xfId="0" applyFill="1" applyAlignment="1">
      <alignment vertical="top"/>
    </xf>
    <xf numFmtId="0" fontId="23" fillId="0" borderId="0" xfId="0" applyFont="1" applyAlignment="1">
      <alignment vertical="top" wrapText="1"/>
    </xf>
    <xf numFmtId="0" fontId="14" fillId="0" borderId="0" xfId="0" applyFont="1"/>
    <xf numFmtId="0" fontId="11" fillId="0" borderId="0" xfId="0" applyFont="1" applyAlignment="1">
      <alignment vertical="top"/>
    </xf>
    <xf numFmtId="179" fontId="5" fillId="0" borderId="0" xfId="0" applyNumberFormat="1" applyFont="1"/>
    <xf numFmtId="2" fontId="11" fillId="0" borderId="0" xfId="0" applyNumberFormat="1" applyFont="1"/>
    <xf numFmtId="167" fontId="10" fillId="0" borderId="0" xfId="0" applyNumberFormat="1" applyFont="1"/>
    <xf numFmtId="165" fontId="25" fillId="0" borderId="0" xfId="0" applyNumberFormat="1" applyFont="1"/>
    <xf numFmtId="0" fontId="11" fillId="0" borderId="0" xfId="0" applyFont="1" applyAlignment="1">
      <alignment vertical="top" wrapText="1"/>
    </xf>
    <xf numFmtId="179" fontId="26" fillId="0" borderId="0" xfId="0" applyNumberFormat="1" applyFont="1"/>
    <xf numFmtId="165" fontId="26" fillId="0" borderId="0" xfId="0" applyNumberFormat="1" applyFont="1"/>
    <xf numFmtId="165" fontId="27" fillId="0" borderId="0" xfId="0" applyNumberFormat="1" applyFont="1"/>
    <xf numFmtId="0" fontId="26" fillId="0" borderId="0" xfId="0" applyFont="1"/>
    <xf numFmtId="0" fontId="27" fillId="0" borderId="0" xfId="0" applyFont="1"/>
    <xf numFmtId="0" fontId="18" fillId="0" borderId="0" xfId="0" applyFont="1"/>
    <xf numFmtId="168" fontId="28" fillId="0" borderId="0" xfId="0" applyNumberFormat="1" applyFont="1"/>
    <xf numFmtId="168" fontId="18" fillId="0" borderId="0" xfId="0" applyNumberFormat="1" applyFont="1"/>
    <xf numFmtId="164" fontId="17" fillId="0" borderId="0" xfId="0" applyNumberFormat="1" applyFont="1"/>
    <xf numFmtId="165" fontId="29" fillId="0" borderId="0" xfId="0" applyNumberFormat="1" applyFont="1"/>
    <xf numFmtId="179" fontId="20" fillId="0" borderId="0" xfId="0" applyNumberFormat="1" applyFont="1"/>
    <xf numFmtId="168" fontId="20" fillId="0" borderId="0" xfId="0" applyNumberFormat="1" applyFont="1"/>
    <xf numFmtId="164" fontId="20" fillId="0" borderId="0" xfId="0" applyNumberFormat="1" applyFont="1"/>
    <xf numFmtId="180" fontId="0" fillId="0" borderId="0" xfId="0" applyNumberFormat="1"/>
    <xf numFmtId="168" fontId="1" fillId="0" borderId="0" xfId="1" applyNumberFormat="1" applyFont="1"/>
    <xf numFmtId="180" fontId="20" fillId="0" borderId="0" xfId="0" applyNumberFormat="1" applyFont="1"/>
    <xf numFmtId="10" fontId="20" fillId="0" borderId="0" xfId="1" applyNumberFormat="1" applyFont="1"/>
    <xf numFmtId="183" fontId="0" fillId="0" borderId="0" xfId="0" applyNumberFormat="1"/>
    <xf numFmtId="0" fontId="0" fillId="0" borderId="0" xfId="0" applyAlignment="1">
      <alignment horizontal="right"/>
    </xf>
    <xf numFmtId="164" fontId="28" fillId="0" borderId="0" xfId="0" applyNumberFormat="1" applyFont="1"/>
    <xf numFmtId="168" fontId="18" fillId="0" borderId="0" xfId="1" applyNumberFormat="1" applyFont="1"/>
    <xf numFmtId="10" fontId="28" fillId="0" borderId="0" xfId="1" applyNumberFormat="1" applyFont="1"/>
    <xf numFmtId="183" fontId="17" fillId="0" borderId="0" xfId="0" applyNumberFormat="1" applyFont="1"/>
    <xf numFmtId="3" fontId="29" fillId="0" borderId="0" xfId="0" applyNumberFormat="1" applyFont="1"/>
    <xf numFmtId="0" fontId="17" fillId="4" borderId="0" xfId="0" applyFont="1" applyFill="1"/>
    <xf numFmtId="181" fontId="0" fillId="0" borderId="0" xfId="0" applyNumberFormat="1"/>
    <xf numFmtId="178" fontId="20" fillId="0" borderId="0" xfId="0" applyNumberFormat="1" applyFont="1"/>
    <xf numFmtId="0" fontId="30" fillId="0" borderId="0" xfId="0" applyFont="1"/>
    <xf numFmtId="0" fontId="31" fillId="0" borderId="0" xfId="0" applyFont="1" applyAlignment="1">
      <alignment vertical="top" wrapText="1"/>
    </xf>
    <xf numFmtId="0" fontId="32" fillId="0" borderId="0" xfId="0" applyFont="1"/>
    <xf numFmtId="0" fontId="32" fillId="0" borderId="0" xfId="0" applyFont="1" applyAlignment="1">
      <alignment vertical="top" wrapText="1"/>
    </xf>
    <xf numFmtId="0" fontId="3" fillId="0" borderId="0" xfId="0" applyFont="1" applyAlignment="1">
      <alignment vertical="top"/>
    </xf>
    <xf numFmtId="9" fontId="20" fillId="0" borderId="0" xfId="1" applyFont="1"/>
    <xf numFmtId="9" fontId="28" fillId="0" borderId="0" xfId="1" applyFont="1"/>
    <xf numFmtId="168" fontId="20" fillId="0" borderId="0" xfId="1" applyNumberFormat="1" applyFont="1"/>
    <xf numFmtId="0" fontId="20" fillId="0" borderId="0" xfId="0" applyFont="1" applyAlignment="1">
      <alignment vertical="top"/>
    </xf>
    <xf numFmtId="2" fontId="20" fillId="0" borderId="0" xfId="1" applyNumberFormat="1" applyFont="1"/>
    <xf numFmtId="0" fontId="32" fillId="0" borderId="0" xfId="0" applyFont="1" applyAlignment="1">
      <alignment horizontal="center" vertical="top" wrapText="1"/>
    </xf>
    <xf numFmtId="169" fontId="10" fillId="0" borderId="0" xfId="0" applyNumberFormat="1" applyFont="1"/>
    <xf numFmtId="0" fontId="25" fillId="0" borderId="0" xfId="0" applyFont="1"/>
    <xf numFmtId="0" fontId="25" fillId="0" borderId="0" xfId="0" applyFont="1" applyAlignment="1">
      <alignment vertical="top" wrapText="1"/>
    </xf>
    <xf numFmtId="0" fontId="22" fillId="0" borderId="0" xfId="0" applyFont="1"/>
    <xf numFmtId="9" fontId="20" fillId="0" borderId="0" xfId="1" applyFont="1" applyFill="1"/>
    <xf numFmtId="0" fontId="0" fillId="8" borderId="0" xfId="0" applyFill="1"/>
    <xf numFmtId="181" fontId="20" fillId="0" borderId="0" xfId="0" applyNumberFormat="1" applyFont="1"/>
    <xf numFmtId="0" fontId="33" fillId="0" borderId="0" xfId="0" applyFont="1"/>
    <xf numFmtId="164" fontId="33" fillId="0" borderId="0" xfId="0" applyNumberFormat="1" applyFont="1"/>
    <xf numFmtId="9" fontId="0" fillId="0" borderId="0" xfId="1" applyFont="1" applyFill="1"/>
    <xf numFmtId="0" fontId="34" fillId="4" borderId="0" xfId="0" applyFont="1" applyFill="1"/>
    <xf numFmtId="0" fontId="24" fillId="0" borderId="0" xfId="0" applyFont="1"/>
    <xf numFmtId="0" fontId="24" fillId="0" borderId="0" xfId="0" applyFont="1" applyAlignment="1">
      <alignment vertical="top"/>
    </xf>
    <xf numFmtId="0" fontId="20" fillId="8" borderId="0" xfId="0" applyFont="1" applyFill="1"/>
    <xf numFmtId="0" fontId="3" fillId="8" borderId="0" xfId="0" applyFont="1" applyFill="1"/>
    <xf numFmtId="179" fontId="11" fillId="0" borderId="0" xfId="0" applyNumberFormat="1" applyFont="1"/>
    <xf numFmtId="0" fontId="21" fillId="8" borderId="0" xfId="0" applyFont="1" applyFill="1"/>
    <xf numFmtId="0" fontId="36" fillId="4" borderId="0" xfId="0" applyFont="1" applyFill="1"/>
    <xf numFmtId="0" fontId="1" fillId="0" borderId="0" xfId="0" applyFont="1" applyAlignment="1">
      <alignment horizontal="center" vertical="top" wrapText="1"/>
    </xf>
    <xf numFmtId="0" fontId="14" fillId="9" borderId="0" xfId="0" applyFont="1" applyFill="1"/>
    <xf numFmtId="0" fontId="37" fillId="0" borderId="0" xfId="0" applyFont="1" applyAlignment="1">
      <alignment vertical="top" wrapText="1"/>
    </xf>
    <xf numFmtId="0" fontId="38" fillId="0" borderId="0" xfId="0" applyFont="1" applyAlignment="1">
      <alignment vertical="top" wrapText="1"/>
    </xf>
    <xf numFmtId="0" fontId="39" fillId="0" borderId="0" xfId="0" applyFont="1" applyAlignment="1">
      <alignment vertical="top" wrapText="1"/>
    </xf>
    <xf numFmtId="0" fontId="35" fillId="9" borderId="0" xfId="0" applyFont="1" applyFill="1"/>
    <xf numFmtId="0" fontId="1" fillId="10" borderId="0" xfId="0" applyFont="1" applyFill="1"/>
    <xf numFmtId="0" fontId="0" fillId="10" borderId="0" xfId="0" applyFill="1" applyAlignment="1">
      <alignment vertical="top" wrapText="1"/>
    </xf>
    <xf numFmtId="0" fontId="0" fillId="10" borderId="0" xfId="0" applyFill="1"/>
    <xf numFmtId="165" fontId="1" fillId="10" borderId="0" xfId="0" applyNumberFormat="1" applyFont="1" applyFill="1"/>
    <xf numFmtId="165" fontId="18" fillId="10" borderId="0" xfId="0" applyNumberFormat="1" applyFont="1" applyFill="1"/>
    <xf numFmtId="0" fontId="6" fillId="10" borderId="0" xfId="0" applyFont="1" applyFill="1" applyAlignment="1">
      <alignment vertical="top" wrapText="1"/>
    </xf>
    <xf numFmtId="0" fontId="10" fillId="10" borderId="0" xfId="0" applyFont="1" applyFill="1"/>
    <xf numFmtId="0" fontId="14" fillId="4" borderId="0" xfId="0" applyFont="1" applyFill="1"/>
    <xf numFmtId="179" fontId="14" fillId="0" borderId="0" xfId="0" applyNumberFormat="1" applyFont="1"/>
    <xf numFmtId="0" fontId="41" fillId="0" borderId="0" xfId="0" applyFont="1"/>
    <xf numFmtId="0" fontId="40" fillId="0" borderId="0" xfId="0" applyFont="1"/>
    <xf numFmtId="0" fontId="42" fillId="0" borderId="0" xfId="0" applyFont="1"/>
    <xf numFmtId="181" fontId="41" fillId="0" borderId="0" xfId="0" applyNumberFormat="1" applyFont="1"/>
    <xf numFmtId="183" fontId="11" fillId="0" borderId="0" xfId="0" applyNumberFormat="1" applyFont="1"/>
    <xf numFmtId="182" fontId="11" fillId="0" borderId="0" xfId="0" applyNumberFormat="1" applyFont="1"/>
    <xf numFmtId="182" fontId="14" fillId="0" borderId="0" xfId="0" applyNumberFormat="1" applyFont="1"/>
    <xf numFmtId="182" fontId="21" fillId="0" borderId="0" xfId="0" applyNumberFormat="1" applyFont="1"/>
    <xf numFmtId="182" fontId="43" fillId="0" borderId="0" xfId="0" applyNumberFormat="1" applyFont="1"/>
    <xf numFmtId="182" fontId="5" fillId="0" borderId="0" xfId="0" applyNumberFormat="1" applyFont="1"/>
    <xf numFmtId="0" fontId="44" fillId="0" borderId="0" xfId="0" applyFont="1"/>
    <xf numFmtId="184" fontId="0" fillId="0" borderId="0" xfId="0" applyNumberFormat="1"/>
    <xf numFmtId="0" fontId="11" fillId="8" borderId="0" xfId="0" applyFont="1" applyFill="1"/>
    <xf numFmtId="9" fontId="17" fillId="0" borderId="0" xfId="1" applyFont="1"/>
    <xf numFmtId="9" fontId="0" fillId="0" borderId="0" xfId="1" applyFont="1"/>
    <xf numFmtId="168" fontId="0" fillId="0" borderId="0" xfId="1" applyNumberFormat="1" applyFont="1"/>
    <xf numFmtId="0" fontId="30" fillId="0" borderId="0" xfId="0" applyFont="1" applyAlignment="1">
      <alignment vertical="top" wrapText="1"/>
    </xf>
    <xf numFmtId="0" fontId="45" fillId="0" borderId="0" xfId="0" applyFont="1"/>
    <xf numFmtId="179" fontId="0" fillId="0" borderId="0" xfId="0" applyNumberFormat="1" applyAlignment="1">
      <alignment horizontal="right"/>
    </xf>
    <xf numFmtId="166" fontId="5" fillId="0" borderId="0" xfId="0" applyNumberFormat="1" applyFont="1"/>
    <xf numFmtId="168" fontId="10" fillId="0" borderId="0" xfId="0" applyNumberFormat="1" applyFont="1"/>
    <xf numFmtId="179" fontId="10" fillId="0" borderId="0" xfId="0" applyNumberFormat="1" applyFont="1"/>
    <xf numFmtId="169" fontId="25" fillId="0" borderId="0" xfId="0" applyNumberFormat="1" applyFont="1"/>
    <xf numFmtId="4" fontId="1" fillId="0" borderId="0" xfId="0" applyNumberFormat="1" applyFont="1"/>
    <xf numFmtId="4" fontId="10" fillId="0" borderId="0" xfId="0" applyNumberFormat="1" applyFont="1"/>
    <xf numFmtId="168" fontId="5" fillId="6" borderId="0" xfId="0" applyNumberFormat="1" applyFont="1" applyFill="1"/>
    <xf numFmtId="0" fontId="46" fillId="0" borderId="0" xfId="0" applyFont="1"/>
    <xf numFmtId="0" fontId="47" fillId="0" borderId="0" xfId="0" applyFont="1"/>
    <xf numFmtId="0" fontId="0" fillId="7" borderId="0" xfId="0" applyFill="1"/>
    <xf numFmtId="10" fontId="10" fillId="0" borderId="0" xfId="0" applyNumberFormat="1" applyFont="1"/>
    <xf numFmtId="0" fontId="1" fillId="6" borderId="0" xfId="0" applyFont="1" applyFill="1"/>
    <xf numFmtId="4" fontId="0" fillId="0" borderId="0" xfId="0" applyNumberFormat="1"/>
    <xf numFmtId="9" fontId="5" fillId="6" borderId="0" xfId="0" applyNumberFormat="1" applyFont="1" applyFill="1"/>
    <xf numFmtId="0" fontId="35" fillId="0" borderId="0" xfId="0" applyFont="1"/>
    <xf numFmtId="0" fontId="48" fillId="11" borderId="0" xfId="0" applyFont="1" applyFill="1"/>
    <xf numFmtId="0" fontId="0" fillId="11" borderId="0" xfId="0" applyFill="1"/>
    <xf numFmtId="173" fontId="10" fillId="0" borderId="0" xfId="0" applyNumberFormat="1" applyFont="1"/>
    <xf numFmtId="0" fontId="48" fillId="12" borderId="0" xfId="0" applyFont="1" applyFill="1"/>
    <xf numFmtId="0" fontId="48" fillId="11" borderId="0" xfId="0" applyFont="1" applyFill="1" applyAlignment="1">
      <alignment horizontal="center"/>
    </xf>
    <xf numFmtId="0" fontId="10" fillId="0" borderId="0" xfId="0" applyFont="1" applyAlignment="1">
      <alignment horizontal="center"/>
    </xf>
    <xf numFmtId="186" fontId="1" fillId="0" borderId="0" xfId="0" applyNumberFormat="1" applyFont="1"/>
    <xf numFmtId="187" fontId="1" fillId="0" borderId="0" xfId="0" applyNumberFormat="1" applyFont="1"/>
    <xf numFmtId="188" fontId="1" fillId="0" borderId="0" xfId="0" applyNumberFormat="1" applyFont="1"/>
    <xf numFmtId="0" fontId="48" fillId="2" borderId="0" xfId="0" applyFont="1" applyFill="1"/>
    <xf numFmtId="168" fontId="49" fillId="0" borderId="0" xfId="0" applyNumberFormat="1" applyFont="1"/>
    <xf numFmtId="0" fontId="1" fillId="0" borderId="1" xfId="0" applyFont="1" applyBorder="1"/>
    <xf numFmtId="0" fontId="0" fillId="2" borderId="0" xfId="0" applyFill="1"/>
    <xf numFmtId="2" fontId="1" fillId="0" borderId="0" xfId="0" applyNumberFormat="1" applyFont="1"/>
    <xf numFmtId="9" fontId="0" fillId="0" borderId="0" xfId="0" applyNumberFormat="1"/>
    <xf numFmtId="169" fontId="0" fillId="2" borderId="0" xfId="0" applyNumberFormat="1" applyFill="1"/>
    <xf numFmtId="0" fontId="32" fillId="0" borderId="0" xfId="0" applyFont="1" applyAlignment="1">
      <alignment horizontal="center" wrapText="1"/>
    </xf>
    <xf numFmtId="171" fontId="10" fillId="0" borderId="0" xfId="0" applyNumberFormat="1" applyFont="1"/>
    <xf numFmtId="0" fontId="1" fillId="8" borderId="0" xfId="0" applyFont="1" applyFill="1"/>
    <xf numFmtId="0" fontId="12" fillId="8" borderId="0" xfId="0" applyFont="1" applyFill="1"/>
    <xf numFmtId="179" fontId="6" fillId="0" borderId="0" xfId="0" applyNumberFormat="1" applyFont="1"/>
    <xf numFmtId="0" fontId="32" fillId="0" borderId="0" xfId="0" applyFont="1" applyAlignment="1">
      <alignment vertical="top"/>
    </xf>
    <xf numFmtId="0" fontId="31" fillId="0" borderId="0" xfId="0" applyFont="1" applyAlignment="1">
      <alignment vertical="top"/>
    </xf>
    <xf numFmtId="0" fontId="32" fillId="0" borderId="0" xfId="0" quotePrefix="1" applyFont="1" applyAlignment="1">
      <alignment vertical="top"/>
    </xf>
    <xf numFmtId="0" fontId="1" fillId="13" borderId="0" xfId="0" applyFont="1" applyFill="1"/>
    <xf numFmtId="0" fontId="1" fillId="0" borderId="2" xfId="0" applyFont="1" applyBorder="1" applyAlignment="1">
      <alignment horizontal="center"/>
    </xf>
    <xf numFmtId="3" fontId="1" fillId="0" borderId="0" xfId="0" applyNumberFormat="1" applyFont="1"/>
    <xf numFmtId="164" fontId="1" fillId="0" borderId="0" xfId="0" applyNumberFormat="1" applyFont="1" applyAlignment="1">
      <alignment horizontal="right"/>
    </xf>
    <xf numFmtId="179" fontId="1" fillId="0" borderId="0" xfId="0" applyNumberFormat="1" applyFont="1" applyAlignment="1">
      <alignment horizontal="right"/>
    </xf>
    <xf numFmtId="168" fontId="1" fillId="0" borderId="0" xfId="0" applyNumberFormat="1" applyFont="1" applyAlignment="1">
      <alignment horizontal="right"/>
    </xf>
    <xf numFmtId="0" fontId="32" fillId="0" borderId="0" xfId="0" applyFont="1" applyAlignment="1">
      <alignment wrapText="1"/>
    </xf>
    <xf numFmtId="3" fontId="1" fillId="0" borderId="0" xfId="0" applyNumberFormat="1" applyFont="1" applyAlignment="1">
      <alignment horizontal="center"/>
    </xf>
    <xf numFmtId="3" fontId="0" fillId="0" borderId="0" xfId="0" applyNumberFormat="1" applyAlignment="1">
      <alignment horizontal="center"/>
    </xf>
    <xf numFmtId="3" fontId="14" fillId="0" borderId="8" xfId="0" applyNumberFormat="1" applyFont="1" applyBorder="1" applyAlignment="1">
      <alignment horizontal="center"/>
    </xf>
    <xf numFmtId="3" fontId="14" fillId="6" borderId="8" xfId="0" applyNumberFormat="1" applyFont="1" applyFill="1" applyBorder="1" applyAlignment="1">
      <alignment horizontal="center"/>
    </xf>
    <xf numFmtId="0" fontId="50" fillId="2" borderId="0" xfId="0" applyFont="1" applyFill="1"/>
    <xf numFmtId="167" fontId="0" fillId="0" borderId="0" xfId="0" applyNumberFormat="1" applyAlignment="1">
      <alignment horizontal="center"/>
    </xf>
    <xf numFmtId="179" fontId="0" fillId="0" borderId="0" xfId="0" applyNumberFormat="1" applyAlignment="1">
      <alignment horizontal="center"/>
    </xf>
    <xf numFmtId="0" fontId="1" fillId="14" borderId="0" xfId="0" applyFont="1" applyFill="1" applyAlignment="1">
      <alignment horizontal="center"/>
    </xf>
    <xf numFmtId="0" fontId="0" fillId="14" borderId="0" xfId="0" applyFill="1" applyAlignment="1">
      <alignment horizontal="center"/>
    </xf>
    <xf numFmtId="0" fontId="0" fillId="0" borderId="0" xfId="0" applyAlignment="1">
      <alignment horizontal="center"/>
    </xf>
    <xf numFmtId="179" fontId="0" fillId="14" borderId="0" xfId="0" applyNumberFormat="1" applyFill="1" applyAlignment="1">
      <alignment horizontal="center"/>
    </xf>
    <xf numFmtId="170" fontId="0" fillId="14" borderId="0" xfId="0" applyNumberFormat="1" applyFill="1" applyAlignment="1">
      <alignment horizontal="center"/>
    </xf>
    <xf numFmtId="165" fontId="0" fillId="0" borderId="0" xfId="0" applyNumberFormat="1" applyAlignment="1">
      <alignment horizontal="center"/>
    </xf>
    <xf numFmtId="170" fontId="0" fillId="0" borderId="0" xfId="0" applyNumberFormat="1" applyAlignment="1">
      <alignment horizontal="center"/>
    </xf>
    <xf numFmtId="0" fontId="51" fillId="0" borderId="0" xfId="0" applyFont="1"/>
    <xf numFmtId="0" fontId="52" fillId="7" borderId="0" xfId="0" applyFont="1" applyFill="1"/>
    <xf numFmtId="0" fontId="53" fillId="0" borderId="0" xfId="0" applyFont="1"/>
    <xf numFmtId="0" fontId="32" fillId="0" borderId="0" xfId="0" applyFont="1" applyAlignment="1">
      <alignment horizontal="center" vertical="top" wrapText="1"/>
    </xf>
    <xf numFmtId="0" fontId="32" fillId="0" borderId="0" xfId="0" applyFont="1" applyAlignment="1">
      <alignment horizontal="center" wrapText="1"/>
    </xf>
    <xf numFmtId="165" fontId="54" fillId="6" borderId="0" xfId="0" applyNumberFormat="1" applyFont="1" applyFill="1"/>
    <xf numFmtId="165" fontId="5" fillId="0" borderId="0" xfId="0" applyNumberFormat="1" applyFont="1"/>
    <xf numFmtId="179" fontId="54" fillId="6" borderId="0" xfId="0" applyNumberFormat="1" applyFont="1" applyFill="1"/>
    <xf numFmtId="0" fontId="5" fillId="6" borderId="0" xfId="0" applyFont="1" applyFill="1"/>
    <xf numFmtId="168" fontId="49" fillId="0" borderId="0" xfId="1" applyNumberFormat="1" applyFont="1"/>
    <xf numFmtId="3" fontId="55" fillId="0" borderId="0" xfId="0" applyNumberFormat="1" applyFont="1"/>
    <xf numFmtId="168" fontId="11" fillId="0" borderId="0" xfId="0" applyNumberFormat="1" applyFont="1"/>
    <xf numFmtId="0" fontId="54" fillId="6" borderId="0" xfId="0" applyFont="1" applyFill="1"/>
    <xf numFmtId="185" fontId="1" fillId="0" borderId="0" xfId="0" applyNumberFormat="1" applyFont="1"/>
    <xf numFmtId="184" fontId="1" fillId="0" borderId="0" xfId="0" applyNumberFormat="1" applyFont="1"/>
    <xf numFmtId="167" fontId="25" fillId="0" borderId="0" xfId="0" applyNumberFormat="1" applyFont="1"/>
    <xf numFmtId="185" fontId="25" fillId="0" borderId="0" xfId="0" applyNumberFormat="1" applyFont="1"/>
    <xf numFmtId="185" fontId="5" fillId="0" borderId="0" xfId="0" applyNumberFormat="1" applyFont="1"/>
    <xf numFmtId="185" fontId="25" fillId="6" borderId="0" xfId="0" applyNumberFormat="1" applyFont="1" applyFill="1"/>
    <xf numFmtId="185" fontId="9" fillId="6" borderId="0" xfId="0" applyNumberFormat="1" applyFont="1" applyFill="1"/>
    <xf numFmtId="166" fontId="10" fillId="0" borderId="0" xfId="0" applyNumberFormat="1" applyFont="1"/>
    <xf numFmtId="171" fontId="5" fillId="0" borderId="0" xfId="0" applyNumberFormat="1" applyFont="1"/>
    <xf numFmtId="189" fontId="0" fillId="0" borderId="0" xfId="0" applyNumberFormat="1"/>
    <xf numFmtId="0" fontId="0" fillId="0" borderId="0" xfId="0" applyFill="1"/>
    <xf numFmtId="164" fontId="0" fillId="0" borderId="0" xfId="0" applyNumberFormat="1" applyFill="1"/>
    <xf numFmtId="168" fontId="17" fillId="0" borderId="0" xfId="0" applyNumberFormat="1" applyFont="1" applyFill="1"/>
    <xf numFmtId="0" fontId="32" fillId="0" borderId="0" xfId="0" applyFont="1" applyFill="1" applyAlignment="1">
      <alignment vertical="top" wrapText="1"/>
    </xf>
    <xf numFmtId="171" fontId="17" fillId="0" borderId="0" xfId="0" applyNumberFormat="1" applyFont="1" applyFill="1"/>
    <xf numFmtId="2" fontId="17" fillId="0" borderId="0" xfId="0" applyNumberFormat="1" applyFont="1" applyFill="1"/>
    <xf numFmtId="10" fontId="17" fillId="0" borderId="0" xfId="0" applyNumberFormat="1" applyFont="1" applyFill="1"/>
    <xf numFmtId="179" fontId="17" fillId="0" borderId="0" xfId="0" applyNumberFormat="1" applyFont="1" applyFill="1"/>
    <xf numFmtId="164" fontId="17" fillId="0" borderId="0" xfId="0" applyNumberFormat="1" applyFont="1" applyFill="1"/>
    <xf numFmtId="181" fontId="0" fillId="0" borderId="0" xfId="0" applyNumberFormat="1" applyFill="1"/>
    <xf numFmtId="168" fontId="9" fillId="0" borderId="0" xfId="0" applyNumberFormat="1" applyFont="1"/>
    <xf numFmtId="168" fontId="9" fillId="6" borderId="0" xfId="0" applyNumberFormat="1" applyFont="1" applyFill="1"/>
    <xf numFmtId="2" fontId="5" fillId="6" borderId="0" xfId="0" applyNumberFormat="1" applyFont="1" applyFill="1" applyAlignment="1">
      <alignment wrapText="1"/>
    </xf>
    <xf numFmtId="2" fontId="10" fillId="6" borderId="0" xfId="0" applyNumberFormat="1" applyFont="1" applyFill="1"/>
    <xf numFmtId="168" fontId="10" fillId="6" borderId="0" xfId="0" applyNumberFormat="1" applyFont="1" applyFill="1"/>
    <xf numFmtId="9" fontId="10" fillId="0" borderId="2" xfId="0" applyNumberFormat="1" applyFont="1" applyBorder="1"/>
    <xf numFmtId="180" fontId="10" fillId="0" borderId="0" xfId="0" applyNumberFormat="1" applyFont="1"/>
    <xf numFmtId="180" fontId="11" fillId="0" borderId="0" xfId="0" applyNumberFormat="1" applyFont="1"/>
    <xf numFmtId="181" fontId="24" fillId="0" borderId="0" xfId="0" applyNumberFormat="1" applyFont="1"/>
    <xf numFmtId="164" fontId="24" fillId="0" borderId="0" xfId="0" applyNumberFormat="1" applyFont="1"/>
    <xf numFmtId="164" fontId="49" fillId="0" borderId="0" xfId="0" applyNumberFormat="1" applyFont="1"/>
    <xf numFmtId="165" fontId="11" fillId="0" borderId="0" xfId="0" applyNumberFormat="1" applyFont="1"/>
    <xf numFmtId="9" fontId="24" fillId="0" borderId="0" xfId="1" applyFont="1" applyFill="1"/>
    <xf numFmtId="165" fontId="5" fillId="6" borderId="0" xfId="0" applyNumberFormat="1" applyFont="1" applyFill="1"/>
    <xf numFmtId="0" fontId="22" fillId="0" borderId="0" xfId="0" applyFont="1" applyAlignment="1">
      <alignment horizontal="center" wrapText="1"/>
    </xf>
    <xf numFmtId="168" fontId="24" fillId="0" borderId="0" xfId="1" applyNumberFormat="1" applyFont="1"/>
    <xf numFmtId="0" fontId="24" fillId="0" borderId="0" xfId="0" applyFont="1" applyAlignment="1">
      <alignment horizontal="center" vertical="top" wrapText="1"/>
    </xf>
    <xf numFmtId="179" fontId="23" fillId="0" borderId="0" xfId="0" applyNumberFormat="1" applyFont="1"/>
    <xf numFmtId="3" fontId="56" fillId="0" borderId="0" xfId="0" applyNumberFormat="1" applyFont="1"/>
    <xf numFmtId="9" fontId="21" fillId="0" borderId="0" xfId="1" applyFont="1"/>
    <xf numFmtId="9" fontId="56" fillId="6" borderId="0" xfId="1" applyFont="1" applyFill="1"/>
    <xf numFmtId="164" fontId="22" fillId="0" borderId="0" xfId="0" applyNumberFormat="1" applyFont="1"/>
    <xf numFmtId="0" fontId="24" fillId="0" borderId="0" xfId="0" applyFont="1" applyAlignment="1">
      <alignment vertical="top" wrapText="1"/>
    </xf>
    <xf numFmtId="168" fontId="14" fillId="0" borderId="0" xfId="0" applyNumberFormat="1" applyFont="1"/>
    <xf numFmtId="181" fontId="5" fillId="0" borderId="0" xfId="0" applyNumberFormat="1" applyFont="1"/>
    <xf numFmtId="181" fontId="11" fillId="0" borderId="0" xfId="1" applyNumberFormat="1" applyFont="1"/>
    <xf numFmtId="181" fontId="5" fillId="0" borderId="0" xfId="1" applyNumberFormat="1" applyFont="1"/>
    <xf numFmtId="168" fontId="5" fillId="0" borderId="0" xfId="1" applyNumberFormat="1" applyFont="1"/>
    <xf numFmtId="1" fontId="10" fillId="0" borderId="0" xfId="0" applyNumberFormat="1" applyFont="1"/>
    <xf numFmtId="9" fontId="5" fillId="0" borderId="0" xfId="1" applyFont="1"/>
    <xf numFmtId="182" fontId="10" fillId="0" borderId="0" xfId="0" applyNumberFormat="1" applyFont="1"/>
    <xf numFmtId="181" fontId="9" fillId="0" borderId="0" xfId="0" applyNumberFormat="1" applyFont="1"/>
    <xf numFmtId="0" fontId="22" fillId="0" borderId="0" xfId="0" applyFont="1" applyAlignment="1">
      <alignment vertical="top" wrapText="1"/>
    </xf>
    <xf numFmtId="168" fontId="25" fillId="0" borderId="0" xfId="0" applyNumberFormat="1" applyFont="1"/>
    <xf numFmtId="176" fontId="25" fillId="0" borderId="0" xfId="0" applyNumberFormat="1" applyFont="1"/>
    <xf numFmtId="1" fontId="25" fillId="0" borderId="0" xfId="0" applyNumberFormat="1" applyFont="1"/>
    <xf numFmtId="2" fontId="14" fillId="0" borderId="0" xfId="0" applyNumberFormat="1" applyFont="1"/>
    <xf numFmtId="2" fontId="25" fillId="0" borderId="0" xfId="0" applyNumberFormat="1" applyFont="1"/>
    <xf numFmtId="10" fontId="9" fillId="0" borderId="0" xfId="0" applyNumberFormat="1" applyFont="1"/>
    <xf numFmtId="10" fontId="14" fillId="0" borderId="0" xfId="0" applyNumberFormat="1" applyFont="1"/>
    <xf numFmtId="10" fontId="25" fillId="0" borderId="0" xfId="0" applyNumberFormat="1" applyFont="1"/>
    <xf numFmtId="3" fontId="9" fillId="0" borderId="0" xfId="0" applyNumberFormat="1" applyFont="1"/>
    <xf numFmtId="169" fontId="9" fillId="0" borderId="0" xfId="0" applyNumberFormat="1" applyFont="1"/>
    <xf numFmtId="3" fontId="25" fillId="0" borderId="0" xfId="0" applyNumberFormat="1" applyFont="1"/>
    <xf numFmtId="165" fontId="14" fillId="0" borderId="0" xfId="0" applyNumberFormat="1" applyFont="1"/>
    <xf numFmtId="165" fontId="21" fillId="0" borderId="0" xfId="0" applyNumberFormat="1" applyFont="1"/>
    <xf numFmtId="168" fontId="14" fillId="0" borderId="0" xfId="1" applyNumberFormat="1" applyFont="1"/>
    <xf numFmtId="181" fontId="22" fillId="0" borderId="0" xfId="0" applyNumberFormat="1" applyFont="1"/>
    <xf numFmtId="168" fontId="25" fillId="0" borderId="0" xfId="1" applyNumberFormat="1" applyFont="1"/>
    <xf numFmtId="10" fontId="24" fillId="0" borderId="0" xfId="1" applyNumberFormat="1" applyFont="1"/>
    <xf numFmtId="3" fontId="11" fillId="0" borderId="0" xfId="0" applyNumberFormat="1" applyFont="1"/>
    <xf numFmtId="9" fontId="24" fillId="0" borderId="0" xfId="1" applyFont="1"/>
    <xf numFmtId="168" fontId="24" fillId="0" borderId="0" xfId="0" applyNumberFormat="1" applyFont="1"/>
    <xf numFmtId="164" fontId="14" fillId="0" borderId="0" xfId="0" applyNumberFormat="1" applyFont="1"/>
    <xf numFmtId="179" fontId="25" fillId="0" borderId="0" xfId="0" applyNumberFormat="1" applyFont="1"/>
    <xf numFmtId="179" fontId="14" fillId="5" borderId="0" xfId="0" applyNumberFormat="1" applyFont="1" applyFill="1"/>
    <xf numFmtId="179" fontId="14" fillId="10" borderId="0" xfId="0" applyNumberFormat="1" applyFont="1" applyFill="1"/>
    <xf numFmtId="184" fontId="10" fillId="0" borderId="0" xfId="0" applyNumberFormat="1" applyFont="1"/>
    <xf numFmtId="184" fontId="11" fillId="0" borderId="0" xfId="0" applyNumberFormat="1" applyFont="1"/>
    <xf numFmtId="167" fontId="11" fillId="0" borderId="0" xfId="0" applyNumberFormat="1" applyFont="1"/>
    <xf numFmtId="175" fontId="11" fillId="0" borderId="0" xfId="0" applyNumberFormat="1" applyFont="1"/>
    <xf numFmtId="175" fontId="10" fillId="0" borderId="0" xfId="0" applyNumberFormat="1" applyFont="1"/>
    <xf numFmtId="175" fontId="14" fillId="0" borderId="0" xfId="0" applyNumberFormat="1" applyFont="1"/>
    <xf numFmtId="0" fontId="57" fillId="0" borderId="0" xfId="0" applyFont="1"/>
    <xf numFmtId="179" fontId="9" fillId="0" borderId="0" xfId="0" applyNumberFormat="1" applyFont="1"/>
    <xf numFmtId="179" fontId="55" fillId="0" borderId="0" xfId="0" applyNumberFormat="1" applyFont="1"/>
    <xf numFmtId="179" fontId="11" fillId="6" borderId="0" xfId="0" applyNumberFormat="1" applyFont="1" applyFill="1"/>
    <xf numFmtId="185" fontId="11" fillId="0" borderId="0" xfId="0" applyNumberFormat="1" applyFont="1"/>
    <xf numFmtId="179" fontId="10" fillId="6" borderId="0" xfId="0" applyNumberFormat="1" applyFont="1" applyFill="1"/>
    <xf numFmtId="166" fontId="11" fillId="0" borderId="0" xfId="0" applyNumberFormat="1" applyFont="1"/>
    <xf numFmtId="174" fontId="10" fillId="0" borderId="0" xfId="0" applyNumberFormat="1" applyFont="1"/>
    <xf numFmtId="2" fontId="11" fillId="0" borderId="2" xfId="0" applyNumberFormat="1" applyFont="1" applyBorder="1"/>
    <xf numFmtId="9" fontId="11" fillId="0" borderId="2" xfId="0" applyNumberFormat="1" applyFont="1" applyBorder="1"/>
    <xf numFmtId="2" fontId="14" fillId="6" borderId="0" xfId="0" applyNumberFormat="1" applyFont="1" applyFill="1"/>
    <xf numFmtId="164" fontId="25" fillId="0" borderId="0" xfId="0" applyNumberFormat="1" applyFont="1"/>
    <xf numFmtId="174" fontId="25" fillId="0" borderId="0" xfId="0" applyNumberFormat="1" applyFont="1"/>
    <xf numFmtId="10" fontId="14" fillId="10" borderId="0" xfId="0" applyNumberFormat="1" applyFont="1" applyFill="1"/>
    <xf numFmtId="10" fontId="11" fillId="0" borderId="0" xfId="0" applyNumberFormat="1" applyFont="1"/>
    <xf numFmtId="2" fontId="11" fillId="0" borderId="0" xfId="0" applyNumberFormat="1" applyFont="1" applyAlignment="1">
      <alignment wrapText="1"/>
    </xf>
    <xf numFmtId="2" fontId="14" fillId="5" borderId="0" xfId="0" applyNumberFormat="1" applyFont="1" applyFill="1"/>
    <xf numFmtId="182" fontId="25" fillId="0" borderId="0" xfId="0" applyNumberFormat="1" applyFont="1"/>
    <xf numFmtId="182" fontId="55" fillId="0" borderId="0" xfId="0" applyNumberFormat="1" applyFont="1"/>
    <xf numFmtId="10" fontId="25" fillId="5" borderId="0" xfId="0" applyNumberFormat="1" applyFont="1" applyFill="1"/>
    <xf numFmtId="170" fontId="10" fillId="0" borderId="0" xfId="0" applyNumberFormat="1" applyFont="1"/>
    <xf numFmtId="170" fontId="10" fillId="0" borderId="0" xfId="0" applyNumberFormat="1" applyFont="1" applyAlignment="1">
      <alignment wrapText="1"/>
    </xf>
    <xf numFmtId="170" fontId="14" fillId="0" borderId="0" xfId="0" applyNumberFormat="1" applyFont="1"/>
    <xf numFmtId="170" fontId="14" fillId="0" borderId="0" xfId="0" applyNumberFormat="1" applyFont="1" applyAlignment="1">
      <alignment wrapText="1"/>
    </xf>
    <xf numFmtId="0" fontId="5" fillId="0" borderId="0" xfId="0" applyFont="1" applyAlignment="1">
      <alignment wrapText="1"/>
    </xf>
    <xf numFmtId="171" fontId="11" fillId="0" borderId="0" xfId="0" applyNumberFormat="1" applyFont="1"/>
    <xf numFmtId="171" fontId="11" fillId="0" borderId="0" xfId="0" applyNumberFormat="1" applyFont="1" applyAlignment="1">
      <alignment wrapText="1"/>
    </xf>
    <xf numFmtId="170" fontId="11" fillId="0" borderId="0" xfId="0" applyNumberFormat="1" applyFont="1"/>
    <xf numFmtId="170" fontId="11" fillId="0" borderId="0" xfId="0" applyNumberFormat="1" applyFont="1" applyAlignment="1">
      <alignment wrapText="1"/>
    </xf>
    <xf numFmtId="169" fontId="14" fillId="5" borderId="0" xfId="0" applyNumberFormat="1" applyFont="1" applyFill="1"/>
    <xf numFmtId="172" fontId="14" fillId="5" borderId="0" xfId="0" applyNumberFormat="1" applyFont="1" applyFill="1"/>
    <xf numFmtId="0" fontId="11" fillId="0" borderId="0" xfId="0" applyFont="1" applyAlignment="1">
      <alignment wrapText="1"/>
    </xf>
    <xf numFmtId="4" fontId="14" fillId="0" borderId="0" xfId="0" applyNumberFormat="1" applyFont="1"/>
    <xf numFmtId="181" fontId="14" fillId="5" borderId="0" xfId="0" applyNumberFormat="1" applyFont="1" applyFill="1"/>
    <xf numFmtId="189" fontId="10" fillId="0" borderId="0" xfId="0" applyNumberFormat="1" applyFont="1"/>
    <xf numFmtId="173" fontId="11" fillId="0" borderId="0" xfId="0" applyNumberFormat="1" applyFont="1"/>
    <xf numFmtId="167" fontId="14" fillId="0" borderId="0" xfId="0" applyNumberFormat="1" applyFont="1"/>
    <xf numFmtId="0" fontId="14" fillId="0" borderId="0" xfId="0" quotePrefix="1" applyFont="1"/>
    <xf numFmtId="4" fontId="25" fillId="0" borderId="0" xfId="0" applyNumberFormat="1" applyFont="1"/>
    <xf numFmtId="181" fontId="14" fillId="0" borderId="0" xfId="0" applyNumberFormat="1" applyFont="1"/>
    <xf numFmtId="168" fontId="9" fillId="3" borderId="0" xfId="0" applyNumberFormat="1" applyFont="1" applyFill="1" applyAlignment="1">
      <alignment horizontal="center"/>
    </xf>
    <xf numFmtId="168" fontId="9" fillId="5" borderId="0" xfId="0" applyNumberFormat="1" applyFont="1" applyFill="1" applyAlignment="1">
      <alignment horizontal="center"/>
    </xf>
    <xf numFmtId="168" fontId="25" fillId="3" borderId="0" xfId="0" applyNumberFormat="1" applyFont="1" applyFill="1"/>
    <xf numFmtId="3" fontId="10" fillId="0" borderId="0" xfId="0" applyNumberFormat="1" applyFont="1" applyAlignment="1">
      <alignment horizontal="center"/>
    </xf>
    <xf numFmtId="168" fontId="25" fillId="5" borderId="0" xfId="0" applyNumberFormat="1" applyFont="1" applyFill="1"/>
    <xf numFmtId="3" fontId="25" fillId="6" borderId="3" xfId="0" applyNumberFormat="1" applyFont="1" applyFill="1" applyBorder="1" applyAlignment="1">
      <alignment horizontal="center"/>
    </xf>
    <xf numFmtId="167" fontId="9" fillId="3" borderId="0" xfId="0" applyNumberFormat="1" applyFont="1" applyFill="1" applyAlignment="1">
      <alignment horizontal="center"/>
    </xf>
    <xf numFmtId="167" fontId="9" fillId="5" borderId="0" xfId="0" applyNumberFormat="1" applyFont="1" applyFill="1" applyAlignment="1">
      <alignment horizontal="center"/>
    </xf>
    <xf numFmtId="3" fontId="25" fillId="3" borderId="0" xfId="0" applyNumberFormat="1" applyFont="1" applyFill="1"/>
    <xf numFmtId="3" fontId="25" fillId="5" borderId="0" xfId="0" applyNumberFormat="1" applyFont="1" applyFill="1"/>
    <xf numFmtId="3" fontId="9" fillId="0" borderId="1" xfId="0" applyNumberFormat="1" applyFont="1" applyBorder="1" applyAlignment="1">
      <alignment horizontal="center"/>
    </xf>
    <xf numFmtId="3" fontId="9" fillId="0" borderId="1" xfId="0" applyNumberFormat="1" applyFont="1" applyBorder="1"/>
    <xf numFmtId="3" fontId="11" fillId="0" borderId="1" xfId="0" applyNumberFormat="1" applyFont="1" applyBorder="1" applyAlignment="1">
      <alignment horizontal="center"/>
    </xf>
    <xf numFmtId="3" fontId="11" fillId="0" borderId="6" xfId="0" applyNumberFormat="1" applyFont="1" applyBorder="1" applyAlignment="1">
      <alignment horizontal="center"/>
    </xf>
    <xf numFmtId="3" fontId="14" fillId="6" borderId="4" xfId="0" applyNumberFormat="1" applyFont="1" applyFill="1" applyBorder="1" applyAlignment="1">
      <alignment horizontal="center"/>
    </xf>
    <xf numFmtId="3" fontId="11" fillId="0" borderId="5" xfId="0" applyNumberFormat="1" applyFont="1" applyBorder="1" applyAlignment="1">
      <alignment horizontal="center"/>
    </xf>
    <xf numFmtId="3" fontId="11" fillId="0" borderId="7" xfId="0" applyNumberFormat="1" applyFont="1" applyBorder="1" applyAlignment="1">
      <alignment horizontal="center"/>
    </xf>
    <xf numFmtId="167" fontId="14" fillId="0" borderId="1" xfId="0" applyNumberFormat="1" applyFont="1" applyBorder="1" applyAlignment="1">
      <alignment horizontal="center"/>
    </xf>
    <xf numFmtId="168" fontId="9" fillId="0" borderId="1" xfId="0" applyNumberFormat="1" applyFont="1" applyBorder="1"/>
    <xf numFmtId="3" fontId="11" fillId="0" borderId="4" xfId="0" applyNumberFormat="1" applyFont="1" applyBorder="1" applyAlignment="1">
      <alignment horizontal="center"/>
    </xf>
    <xf numFmtId="167" fontId="9" fillId="0" borderId="0" xfId="0" applyNumberFormat="1" applyFont="1" applyAlignment="1">
      <alignment horizontal="center"/>
    </xf>
    <xf numFmtId="167" fontId="11" fillId="6" borderId="0" xfId="0" applyNumberFormat="1" applyFont="1" applyFill="1"/>
    <xf numFmtId="169" fontId="11" fillId="0" borderId="0" xfId="0" applyNumberFormat="1" applyFont="1"/>
    <xf numFmtId="169" fontId="25" fillId="5" borderId="0" xfId="0" applyNumberFormat="1" applyFont="1" applyFill="1"/>
    <xf numFmtId="181" fontId="25" fillId="0" borderId="0" xfId="0" applyNumberFormat="1" applyFont="1"/>
    <xf numFmtId="0" fontId="58" fillId="6" borderId="0" xfId="0" applyFont="1" applyFill="1"/>
    <xf numFmtId="168" fontId="14" fillId="6" borderId="0" xfId="0" applyNumberFormat="1" applyFont="1" applyFill="1"/>
    <xf numFmtId="167" fontId="14" fillId="6" borderId="0" xfId="0" applyNumberFormat="1" applyFont="1" applyFill="1"/>
    <xf numFmtId="1" fontId="14" fillId="0" borderId="0" xfId="0" applyNumberFormat="1" applyFont="1"/>
    <xf numFmtId="17" fontId="5" fillId="14" borderId="0" xfId="0" applyNumberFormat="1" applyFont="1" applyFill="1" applyAlignment="1">
      <alignment horizontal="center"/>
    </xf>
    <xf numFmtId="17" fontId="5" fillId="0" borderId="0" xfId="0" applyNumberFormat="1" applyFont="1" applyAlignment="1">
      <alignment horizontal="center"/>
    </xf>
    <xf numFmtId="179" fontId="5" fillId="14" borderId="0" xfId="0" applyNumberFormat="1" applyFont="1" applyFill="1" applyAlignment="1">
      <alignment horizontal="center"/>
    </xf>
    <xf numFmtId="179" fontId="5" fillId="0" borderId="0" xfId="0" applyNumberFormat="1" applyFont="1" applyAlignment="1">
      <alignment horizontal="center"/>
    </xf>
    <xf numFmtId="167" fontId="11" fillId="14" borderId="0" xfId="0" applyNumberFormat="1" applyFont="1" applyFill="1" applyAlignment="1">
      <alignment horizontal="center"/>
    </xf>
    <xf numFmtId="167" fontId="11" fillId="0" borderId="0" xfId="0" applyNumberFormat="1" applyFont="1" applyAlignment="1">
      <alignment horizontal="center"/>
    </xf>
    <xf numFmtId="168" fontId="11" fillId="14" borderId="0" xfId="0" applyNumberFormat="1" applyFont="1" applyFill="1" applyAlignment="1">
      <alignment horizontal="center"/>
    </xf>
    <xf numFmtId="168" fontId="11" fillId="0" borderId="0" xfId="0" applyNumberFormat="1" applyFont="1" applyAlignment="1">
      <alignment horizontal="center"/>
    </xf>
    <xf numFmtId="168" fontId="5" fillId="14" borderId="0" xfId="0" applyNumberFormat="1" applyFont="1" applyFill="1" applyAlignment="1">
      <alignment horizontal="center"/>
    </xf>
    <xf numFmtId="168" fontId="5" fillId="0" borderId="0" xfId="0" applyNumberFormat="1" applyFont="1" applyAlignment="1">
      <alignment horizontal="center"/>
    </xf>
    <xf numFmtId="179" fontId="11" fillId="0" borderId="0" xfId="0" applyNumberFormat="1" applyFont="1" applyAlignment="1">
      <alignment horizontal="center"/>
    </xf>
    <xf numFmtId="15" fontId="11" fillId="0" borderId="0" xfId="0" applyNumberFormat="1" applyFont="1"/>
    <xf numFmtId="185" fontId="14" fillId="0" borderId="0" xfId="0" applyNumberFormat="1" applyFont="1"/>
    <xf numFmtId="184" fontId="14" fillId="0" borderId="0" xfId="0" applyNumberFormat="1" applyFont="1"/>
    <xf numFmtId="0" fontId="14" fillId="6" borderId="0" xfId="0" applyFont="1" applyFill="1"/>
    <xf numFmtId="0" fontId="10" fillId="14" borderId="0" xfId="0" applyFont="1" applyFill="1"/>
    <xf numFmtId="0" fontId="48" fillId="2" borderId="0" xfId="0" applyFont="1" applyFill="1" applyAlignment="1">
      <alignment wrapText="1"/>
    </xf>
    <xf numFmtId="4" fontId="5" fillId="0" borderId="0" xfId="0" applyNumberFormat="1" applyFont="1"/>
    <xf numFmtId="190" fontId="0" fillId="0" borderId="0" xfId="0" applyNumberFormat="1"/>
    <xf numFmtId="190" fontId="5"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2.xml"/><Relationship Id="rId21" Type="http://schemas.openxmlformats.org/officeDocument/2006/relationships/worksheet" Target="worksheets/sheet21.xml"/><Relationship Id="rId34" Type="http://schemas.openxmlformats.org/officeDocument/2006/relationships/sharedStrings" Target="sharedStrings.xml"/><Relationship Id="rId42" Type="http://schemas.microsoft.com/office/2017/10/relationships/person" Target="persons/person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40" Type="http://schemas.microsoft.com/office/2017/10/relationships/person" Target="persons/person.xml"/><Relationship Id="rId37" Type="http://schemas.microsoft.com/office/2017/10/relationships/person" Target="persons/person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microsoft.com/office/2017/10/relationships/person" Target="persons/person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ersons/person2.xml><?xml version="1.0" encoding="utf-8"?>
<personList xmlns="http://schemas.microsoft.com/office/spreadsheetml/2018/threadedcomments" xmlns:x="http://schemas.openxmlformats.org/spreadsheetml/2006/main"/>
</file>

<file path=xl/persons/person3.xml><?xml version="1.0" encoding="utf-8"?>
<personList xmlns="http://schemas.microsoft.com/office/spreadsheetml/2018/threadedcomments" xmlns:x="http://schemas.openxmlformats.org/spreadsheetml/2006/main"/>
</file>

<file path=xl/persons/person4.xml><?xml version="1.0" encoding="utf-8"?>
<personList xmlns="http://schemas.microsoft.com/office/spreadsheetml/2018/threadedcomments" xmlns:x="http://schemas.openxmlformats.org/spreadsheetml/2006/main"/>
</file>

<file path=xl/persons/person5.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0" row="5">
    <wetp:webextensionref xmlns:r="http://schemas.openxmlformats.org/officeDocument/2006/relationships" r:id="rId1"/>
  </wetp:taskpane>
  <wetp:taskpane dockstate="right" visibility="0" width="724" row="6">
    <wetp:webextensionref xmlns:r="http://schemas.openxmlformats.org/officeDocument/2006/relationships" r:id="rId2"/>
  </wetp:taskpane>
  <wetp:taskpane dockstate="right" visibility="0" width="350" row="5">
    <wetp:webextensionref xmlns:r="http://schemas.openxmlformats.org/officeDocument/2006/relationships" r:id="rId3"/>
  </wetp:taskpane>
</wetp:taskpanes>
</file>

<file path=xl/webextensions/webextension1.xml><?xml version="1.0" encoding="utf-8"?>
<we:webextension xmlns:we="http://schemas.microsoft.com/office/webextensions/webextension/2010/11" id="{23FCCBB8-CF0D-4541-945F-363FBD4A8223}">
  <we:reference id="wa200010725" version="1.0.0.1" store="en-US" storeType="OMEX"/>
  <we:alternateReferences>
    <we:reference id="wa200010725" version="1.0.0.1" store="wa200010725" storeType="OMEX"/>
  </we:alternateReferences>
  <we:properties>
    <we:property name="claude.fileId" value="&quot;4332433a-b195-4d5a-8c11-506fd519f914&quot;"/>
  </we:properties>
  <we:bindings/>
  <we:snapshot xmlns:r="http://schemas.openxmlformats.org/officeDocument/2006/relationships"/>
</we:webextension>
</file>

<file path=xl/webextensions/webextension2.xml><?xml version="1.0" encoding="utf-8"?>
<we:webextension xmlns:we="http://schemas.microsoft.com/office/webextensions/webextension/2010/11" id="{C2BCC9BC-EB87-4F1B-963A-E62F87A1F616}">
  <we:reference id="wa200010215" version="2.0.0.0" store="en-US" storeType="OMEX"/>
  <we:alternateReferences>
    <we:reference id="wa200010215" version="2.0.0.0" store="en-US" storeType="OMEX"/>
  </we:alternateReferences>
  <we:properties>
    <we:property name="bps.codex_control.document_id" value="&quot;0c690233-309f-4552-91c5-d61b8c95f73e&quot;"/>
  </we:properties>
  <we:bindings/>
  <we:snapshot xmlns:r="http://schemas.openxmlformats.org/officeDocument/2006/relationships"/>
</we:webextension>
</file>

<file path=xl/webextensions/webextension3.xml><?xml version="1.0" encoding="utf-8"?>
<we:webextension xmlns:we="http://schemas.microsoft.com/office/webextensions/webextension/2010/11" id="{0C0EAF76-5A02-49CA-B47F-422EDBB3FEDD}">
  <we:reference id="wa200009404" version="1.0.0.8" store="en-US" storeType="OMEX"/>
  <we:alternateReferences>
    <we:reference id="wa200009404" version="1.0.0.8" store="en-US" storeType="OMEX"/>
  </we:alternateReferences>
  <we:properties>
    <we:property name="claude.fileId" value="&quot;792fa453-d174-43fa-81e6-a0fe23e73008&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AF0B-CF6D-475D-A84E-74C145CEA836}">
  <dimension ref="A1:E45"/>
  <sheetViews>
    <sheetView zoomScale="70" zoomScaleNormal="70" workbookViewId="0">
      <selection activeCell="A2" sqref="A2:XFD2"/>
    </sheetView>
  </sheetViews>
  <sheetFormatPr defaultRowHeight="15" x14ac:dyDescent="0.25"/>
  <cols>
    <col min="1" max="1" width="126.42578125" bestFit="1" customWidth="1"/>
    <col min="2" max="2" width="6" bestFit="1" customWidth="1"/>
    <col min="3" max="3" width="52.140625" bestFit="1" customWidth="1"/>
    <col min="4" max="4" width="8.140625" bestFit="1" customWidth="1"/>
    <col min="5" max="5" width="47.28515625" customWidth="1"/>
  </cols>
  <sheetData>
    <row r="1" spans="1:5" ht="21" x14ac:dyDescent="0.35">
      <c r="A1" s="1" t="s">
        <v>0</v>
      </c>
      <c r="E1" s="137" t="str">
        <f>Data_Sources!$D$15&amp;" | "&amp;Data_Sources!$E$15&amp;" | "&amp;Data_Sources!$F$15</f>
        <v>Eternal Q4FY26 shareholders' letter | Annexure A &amp; B (reconciliation to reported P&amp;L) | https://b.zmtcdn.com/investor-relations/Eternal_Shareholders_Letter_Q4FY26_Results.pdf</v>
      </c>
    </row>
    <row r="3" spans="1:5" x14ac:dyDescent="0.25">
      <c r="A3" s="4" t="s">
        <v>1</v>
      </c>
    </row>
    <row r="4" spans="1:5" x14ac:dyDescent="0.25">
      <c r="A4" t="str">
        <f>"Historicals: FY2023A–FY2026A (audited consolidated results, Ind AS; FY23A–FY24A partly incomplete — see Checks). Forecast: FY2027E–FY2034E. Valuation date: FY2026A balance sheet; market price "&amp;TEXT(Assumptions!B142,"0")&amp;"."</f>
        <v>Historicals: FY2023A–FY2026A (audited consolidated results, Ind AS; FY23A–FY24A partly incomplete — see Checks). Forecast: FY2027E–FY2034E. Valuation date: FY2026A balance sheet; market price 281.</v>
      </c>
    </row>
    <row r="5" spans="1:5" x14ac:dyDescent="0.25">
      <c r="A5" t="s">
        <v>2</v>
      </c>
    </row>
    <row r="6" spans="1:5" x14ac:dyDescent="0.25">
      <c r="A6" t="s">
        <v>3</v>
      </c>
    </row>
    <row r="7" spans="1:5" x14ac:dyDescent="0.25">
      <c r="A7" t="s">
        <v>1592</v>
      </c>
    </row>
    <row r="9" spans="1:5" x14ac:dyDescent="0.25">
      <c r="A9" s="4" t="s">
        <v>4</v>
      </c>
      <c r="B9" s="4" t="s">
        <v>5</v>
      </c>
      <c r="C9" s="4" t="s">
        <v>6</v>
      </c>
      <c r="D9" s="4" t="s">
        <v>7</v>
      </c>
    </row>
    <row r="10" spans="1:5" x14ac:dyDescent="0.25">
      <c r="A10" t="s">
        <v>8</v>
      </c>
      <c r="B10" t="s">
        <v>9</v>
      </c>
      <c r="C10" s="20">
        <f>'Revenue Schedule'!F16</f>
        <v>95960</v>
      </c>
      <c r="D10" s="20">
        <f>'Revenue Schedule'!N16</f>
        <v>880924.33453125006</v>
      </c>
    </row>
    <row r="11" spans="1:5" x14ac:dyDescent="0.25">
      <c r="A11" t="s">
        <v>10</v>
      </c>
      <c r="B11" t="s">
        <v>9</v>
      </c>
      <c r="C11" s="20">
        <f>'Revenue Schedule'!F27</f>
        <v>55903</v>
      </c>
      <c r="D11" s="20">
        <f>'Revenue Schedule'!N27</f>
        <v>722008.39423487009</v>
      </c>
    </row>
    <row r="12" spans="1:5" x14ac:dyDescent="0.25">
      <c r="A12" t="s">
        <v>11</v>
      </c>
      <c r="B12" t="s">
        <v>9</v>
      </c>
      <c r="C12" s="20">
        <f>IS!G48</f>
        <v>1189</v>
      </c>
      <c r="D12" s="20">
        <f>IS!O48</f>
        <v>54902.1717097785</v>
      </c>
    </row>
    <row r="13" spans="1:5" x14ac:dyDescent="0.25">
      <c r="A13" t="s">
        <v>12</v>
      </c>
      <c r="B13" t="s">
        <v>13</v>
      </c>
      <c r="C13" s="37">
        <f>IS!G49</f>
        <v>2.1268983775468223E-2</v>
      </c>
      <c r="D13" s="37">
        <f>IS!O49</f>
        <v>7.6040904992468503E-2</v>
      </c>
    </row>
    <row r="14" spans="1:5" x14ac:dyDescent="0.25">
      <c r="A14" t="s">
        <v>14</v>
      </c>
      <c r="B14" t="s">
        <v>9</v>
      </c>
      <c r="C14" s="20">
        <f>IS!G29</f>
        <v>366</v>
      </c>
      <c r="D14" s="20">
        <f>IS!O29</f>
        <v>29682.140434532928</v>
      </c>
    </row>
    <row r="15" spans="1:5" x14ac:dyDescent="0.25">
      <c r="A15" t="s">
        <v>15</v>
      </c>
      <c r="B15" t="s">
        <v>16</v>
      </c>
      <c r="C15" s="20">
        <f>Assumptions!G16</f>
        <v>2243</v>
      </c>
      <c r="D15" s="20">
        <f>Assumptions!O16</f>
        <v>13343</v>
      </c>
    </row>
    <row r="17" spans="1:3" x14ac:dyDescent="0.25">
      <c r="A17" s="212" t="s">
        <v>1273</v>
      </c>
      <c r="B17" s="215"/>
      <c r="C17" s="218"/>
    </row>
    <row r="18" spans="1:3" x14ac:dyDescent="0.25">
      <c r="A18" t="s">
        <v>17</v>
      </c>
      <c r="B18" t="s">
        <v>18</v>
      </c>
      <c r="C18" s="200">
        <f>DCF!B32</f>
        <v>96.751812952935552</v>
      </c>
    </row>
    <row r="19" spans="1:3" x14ac:dyDescent="0.25">
      <c r="A19" t="s">
        <v>1593</v>
      </c>
      <c r="B19" t="s">
        <v>18</v>
      </c>
      <c r="C19" s="200">
        <f>SOTP!D17</f>
        <v>238.90426881334955</v>
      </c>
    </row>
    <row r="20" spans="1:3" x14ac:dyDescent="0.25">
      <c r="A20" t="str">
        <f>"Probability-weighted expected value / share ("&amp;TEXT(Scenarios!B39,"0%")&amp;" bear / "&amp;TEXT(Scenarios!C39,"0%")&amp;" base / "&amp;TEXT(Scenarios!D39,"0%")&amp;" bull)"</f>
        <v>Probability-weighted expected value / share (30% bear / 45% base / 25% bull)</v>
      </c>
      <c r="B20" t="s">
        <v>18</v>
      </c>
      <c r="C20" s="192">
        <f>Scenarios!B41</f>
        <v>206.12668731326755</v>
      </c>
    </row>
    <row r="21" spans="1:3" x14ac:dyDescent="0.25">
      <c r="A21" t="s">
        <v>19</v>
      </c>
      <c r="B21" t="s">
        <v>18</v>
      </c>
      <c r="C21" s="200">
        <f>Assumptions!B142</f>
        <v>281</v>
      </c>
    </row>
    <row r="22" spans="1:3" x14ac:dyDescent="0.25">
      <c r="A22" t="s">
        <v>1064</v>
      </c>
      <c r="B22" t="s">
        <v>13</v>
      </c>
      <c r="C22" s="37">
        <f>C20/C21-1</f>
        <v>-0.2664530700595461</v>
      </c>
    </row>
    <row r="23" spans="1:3" x14ac:dyDescent="0.25">
      <c r="A23" t="str">
        <f>"Probability-weighted IRR to a FY2030 exit vs the "&amp;TEXT(Assumptions!B160,"0%")&amp;" hurdle"</f>
        <v>Probability-weighted IRR to a FY2030 exit vs the 18% hurdle</v>
      </c>
      <c r="B23" t="s">
        <v>13</v>
      </c>
      <c r="C23" s="37">
        <f>Dashboard!B28</f>
        <v>-7.3362586340473657E-2</v>
      </c>
    </row>
    <row r="24" spans="1:3" x14ac:dyDescent="0.25">
      <c r="A24" t="s">
        <v>1067</v>
      </c>
      <c r="C24" s="199" t="str">
        <f>Dashboard!B9</f>
        <v>AVOID / SELL — negative expected return</v>
      </c>
    </row>
    <row r="25" spans="1:3" x14ac:dyDescent="0.25">
      <c r="A25" t="s">
        <v>1274</v>
      </c>
    </row>
    <row r="26" spans="1:3" x14ac:dyDescent="0.25">
      <c r="A26" t="str">
        <f>"Balance check (BS row 33) FY26A gap "&amp;TEXT(BS!G33,"#,##0")&amp;" Cr carried flat; max change in forecast imbalance "&amp;TEXT(MAX(INDEX(ABS(BS!H34:O34),0)),"#,##0")&amp;" Cr. Full integrity status on the Checks tab (open items counted in Checks!B5)."</f>
        <v>Balance check (BS row 33) FY26A gap 15 Cr carried flat; max change in forecast imbalance 0 Cr. Full integrity status on the Checks tab (open items counted in Checks!B5).</v>
      </c>
    </row>
    <row r="28" spans="1:3" x14ac:dyDescent="0.25">
      <c r="A28" s="212" t="s">
        <v>333</v>
      </c>
      <c r="B28" s="215"/>
      <c r="C28" s="215"/>
    </row>
    <row r="29" spans="1:3" x14ac:dyDescent="0.25">
      <c r="A29" t="s">
        <v>1275</v>
      </c>
    </row>
    <row r="30" spans="1:3" x14ac:dyDescent="0.25">
      <c r="A30" t="s">
        <v>1276</v>
      </c>
    </row>
    <row r="31" spans="1:3" x14ac:dyDescent="0.25">
      <c r="A31" t="s">
        <v>1277</v>
      </c>
    </row>
    <row r="32" spans="1:3" x14ac:dyDescent="0.25">
      <c r="A32" t="s">
        <v>1278</v>
      </c>
    </row>
    <row r="33" spans="1:1" x14ac:dyDescent="0.25">
      <c r="A33" t="s">
        <v>1279</v>
      </c>
    </row>
    <row r="34" spans="1:1" x14ac:dyDescent="0.25">
      <c r="A34" t="s">
        <v>1280</v>
      </c>
    </row>
    <row r="35" spans="1:1" x14ac:dyDescent="0.25">
      <c r="A35" t="s">
        <v>1281</v>
      </c>
    </row>
    <row r="36" spans="1:1" x14ac:dyDescent="0.25">
      <c r="A36" t="s">
        <v>1282</v>
      </c>
    </row>
    <row r="37" spans="1:1" x14ac:dyDescent="0.25">
      <c r="A37" t="s">
        <v>1594</v>
      </c>
    </row>
    <row r="38" spans="1:1" x14ac:dyDescent="0.25">
      <c r="A38" t="s">
        <v>1595</v>
      </c>
    </row>
    <row r="39" spans="1:1" x14ac:dyDescent="0.25">
      <c r="A39" t="s">
        <v>1283</v>
      </c>
    </row>
    <row r="40" spans="1:1" x14ac:dyDescent="0.25">
      <c r="A40" t="s">
        <v>1284</v>
      </c>
    </row>
    <row r="41" spans="1:1" x14ac:dyDescent="0.25">
      <c r="A41" t="s">
        <v>1285</v>
      </c>
    </row>
    <row r="42" spans="1:1" x14ac:dyDescent="0.25">
      <c r="A42" t="s">
        <v>1286</v>
      </c>
    </row>
    <row r="43" spans="1:1" x14ac:dyDescent="0.25">
      <c r="A43" t="s">
        <v>1287</v>
      </c>
    </row>
    <row r="44" spans="1:1" x14ac:dyDescent="0.25">
      <c r="A44" t="s">
        <v>1288</v>
      </c>
    </row>
    <row r="45" spans="1:1" x14ac:dyDescent="0.25">
      <c r="A45" t="s">
        <v>1289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592F6-B2AD-4AD8-87FC-3531F158BDE1}">
  <dimension ref="A1:M70"/>
  <sheetViews>
    <sheetView zoomScale="70" zoomScaleNormal="70" workbookViewId="0">
      <selection activeCell="B14" sqref="B14"/>
    </sheetView>
  </sheetViews>
  <sheetFormatPr defaultRowHeight="15" x14ac:dyDescent="0.25"/>
  <cols>
    <col min="1" max="1" width="54.5703125" customWidth="1"/>
    <col min="2" max="2" width="10.85546875" customWidth="1"/>
    <col min="3" max="3" width="43.5703125" customWidth="1"/>
    <col min="4" max="4" width="83.28515625" style="21" customWidth="1"/>
    <col min="5" max="5" width="14.140625" customWidth="1"/>
    <col min="6" max="6" width="47.28515625" customWidth="1"/>
    <col min="7" max="12" width="14.140625" customWidth="1"/>
    <col min="13" max="13" width="72.7109375" style="24" customWidth="1"/>
  </cols>
  <sheetData>
    <row r="1" spans="1:12" ht="21" x14ac:dyDescent="0.35">
      <c r="A1" s="1" t="s">
        <v>571</v>
      </c>
      <c r="F1" s="137" t="str">
        <f>Data_Sources!$D$15&amp;" | "&amp;Data_Sources!$E$15&amp;" | "&amp;Data_Sources!$F$15</f>
        <v>Eternal Q4FY26 shareholders' letter | Annexure A &amp; B (reconciliation to reported P&amp;L) | https://b.zmtcdn.com/investor-relations/Eternal_Shareholders_Letter_Q4FY26_Results.pdf</v>
      </c>
    </row>
    <row r="2" spans="1:12" x14ac:dyDescent="0.25">
      <c r="A2" s="2" t="s">
        <v>572</v>
      </c>
    </row>
    <row r="4" spans="1:12" x14ac:dyDescent="0.25">
      <c r="A4" s="4" t="s">
        <v>573</v>
      </c>
      <c r="B4" s="4" t="s">
        <v>5</v>
      </c>
      <c r="C4" s="6" t="s">
        <v>6</v>
      </c>
      <c r="D4" s="22" t="s">
        <v>27</v>
      </c>
      <c r="E4" s="6" t="s">
        <v>7</v>
      </c>
    </row>
    <row r="5" spans="1:12" x14ac:dyDescent="0.25">
      <c r="A5" t="s">
        <v>574</v>
      </c>
      <c r="B5" t="s">
        <v>9</v>
      </c>
      <c r="C5" s="18">
        <f>'Revenue Schedule'!F16</f>
        <v>95960</v>
      </c>
      <c r="D5" s="49">
        <f>'Revenue Schedule'!J16</f>
        <v>415920.28433599998</v>
      </c>
      <c r="E5" s="18">
        <f>'Revenue Schedule'!N16</f>
        <v>880924.33453125006</v>
      </c>
      <c r="F5" s="18"/>
      <c r="G5" s="18"/>
      <c r="H5" s="18"/>
      <c r="I5" s="18"/>
      <c r="J5" s="18"/>
      <c r="K5" s="18"/>
      <c r="L5" s="18"/>
    </row>
    <row r="6" spans="1:12" x14ac:dyDescent="0.25">
      <c r="A6" t="s">
        <v>79</v>
      </c>
      <c r="B6" t="s">
        <v>9</v>
      </c>
      <c r="C6" s="18">
        <f>'Revenue Schedule'!F27</f>
        <v>55903</v>
      </c>
      <c r="D6" s="49">
        <f>'Revenue Schedule'!J27</f>
        <v>328544.99127031997</v>
      </c>
      <c r="E6" s="18">
        <f>'Revenue Schedule'!N27</f>
        <v>722008.39423487009</v>
      </c>
      <c r="F6" s="18"/>
      <c r="G6" s="18"/>
      <c r="H6" s="18"/>
      <c r="I6" s="18"/>
      <c r="J6" s="18"/>
      <c r="K6" s="18"/>
      <c r="L6" s="18"/>
    </row>
    <row r="7" spans="1:12" x14ac:dyDescent="0.25">
      <c r="A7" t="s">
        <v>11</v>
      </c>
      <c r="B7" t="s">
        <v>9</v>
      </c>
      <c r="C7" s="18">
        <f>IS!G48</f>
        <v>1189</v>
      </c>
      <c r="D7" s="49">
        <f>IS!K48</f>
        <v>17501.4149268</v>
      </c>
      <c r="E7" s="18">
        <f>IS!O48</f>
        <v>54902.1717097785</v>
      </c>
      <c r="F7" s="18"/>
      <c r="G7" s="18"/>
      <c r="H7" s="18"/>
      <c r="I7" s="18"/>
      <c r="J7" s="18"/>
      <c r="K7" s="18"/>
      <c r="L7" s="18"/>
    </row>
    <row r="8" spans="1:12" x14ac:dyDescent="0.25">
      <c r="A8" t="s">
        <v>12</v>
      </c>
      <c r="B8" t="s">
        <v>13</v>
      </c>
      <c r="C8" s="16">
        <f>IS!G49</f>
        <v>2.1268983775468223E-2</v>
      </c>
      <c r="D8" s="50">
        <f>IS!K49</f>
        <v>5.3269461997063901E-2</v>
      </c>
      <c r="E8" s="16">
        <f>IS!O49</f>
        <v>7.6040904992468503E-2</v>
      </c>
      <c r="F8" s="16"/>
      <c r="G8" s="16"/>
      <c r="H8" s="16"/>
      <c r="I8" s="16"/>
      <c r="J8" s="16"/>
      <c r="K8" s="16"/>
      <c r="L8" s="16"/>
    </row>
    <row r="9" spans="1:12" x14ac:dyDescent="0.25">
      <c r="A9" t="s">
        <v>575</v>
      </c>
      <c r="B9" t="s">
        <v>9</v>
      </c>
      <c r="C9" s="18">
        <f>IS!G29</f>
        <v>366</v>
      </c>
      <c r="D9" s="49">
        <f>IS!K29</f>
        <v>-3202.4176929232726</v>
      </c>
      <c r="E9" s="18">
        <f>IS!O29</f>
        <v>29682.140434532928</v>
      </c>
      <c r="F9" s="18"/>
      <c r="G9" s="18"/>
      <c r="H9" s="18"/>
      <c r="I9" s="18"/>
      <c r="J9" s="18"/>
      <c r="K9" s="18"/>
      <c r="L9" s="18"/>
    </row>
    <row r="10" spans="1:12" x14ac:dyDescent="0.25">
      <c r="A10" t="s">
        <v>15</v>
      </c>
      <c r="B10" t="s">
        <v>16</v>
      </c>
      <c r="C10" s="18">
        <f>OpMetrics!G5</f>
        <v>2243</v>
      </c>
      <c r="D10" s="49">
        <f>OpMetrics!K5</f>
        <v>7243</v>
      </c>
      <c r="E10" s="18">
        <f>OpMetrics!O5</f>
        <v>13343</v>
      </c>
      <c r="F10" s="18"/>
      <c r="G10" s="18"/>
      <c r="H10" s="18"/>
      <c r="I10" s="18"/>
      <c r="J10" s="18"/>
      <c r="K10" s="18"/>
      <c r="L10" s="18"/>
    </row>
    <row r="11" spans="1:12" x14ac:dyDescent="0.25">
      <c r="A11" t="s">
        <v>103</v>
      </c>
      <c r="B11" t="s">
        <v>9</v>
      </c>
      <c r="C11" s="18">
        <f>CFS!G32</f>
        <v>17972</v>
      </c>
      <c r="D11" s="49">
        <f>CFS!K32</f>
        <v>-20244.157370039047</v>
      </c>
      <c r="E11" s="18">
        <f>CFS!O32</f>
        <v>31344.969653383301</v>
      </c>
      <c r="F11" s="18"/>
      <c r="G11" s="18"/>
      <c r="H11" s="18"/>
      <c r="I11" s="18"/>
      <c r="J11" s="18"/>
      <c r="K11" s="18"/>
      <c r="L11" s="18"/>
    </row>
    <row r="13" spans="1:12" x14ac:dyDescent="0.25">
      <c r="A13" t="s">
        <v>17</v>
      </c>
      <c r="B13" t="s">
        <v>18</v>
      </c>
      <c r="C13" s="40">
        <f>DCF!B32</f>
        <v>96.751812952935552</v>
      </c>
      <c r="D13" s="51"/>
      <c r="E13" s="40"/>
      <c r="F13" s="40"/>
      <c r="G13" s="40"/>
      <c r="H13" s="40"/>
      <c r="I13" s="40"/>
      <c r="J13" s="40"/>
      <c r="K13" s="40"/>
      <c r="L13" s="40"/>
    </row>
    <row r="14" spans="1:12" x14ac:dyDescent="0.25">
      <c r="A14" t="s">
        <v>576</v>
      </c>
      <c r="B14" s="28">
        <f>SOTP!D17</f>
        <v>238.90426881334955</v>
      </c>
      <c r="C14" s="40">
        <f>SOTP!D19</f>
        <v>-0.14980687255035752</v>
      </c>
      <c r="D14" s="51"/>
      <c r="E14" s="40"/>
      <c r="F14" s="40"/>
      <c r="G14" s="40"/>
      <c r="H14" s="40"/>
      <c r="I14" s="40"/>
      <c r="J14" s="40"/>
      <c r="K14" s="40"/>
      <c r="L14" s="40"/>
    </row>
    <row r="15" spans="1:12" x14ac:dyDescent="0.25">
      <c r="A15" t="s">
        <v>577</v>
      </c>
      <c r="B15" t="s">
        <v>18</v>
      </c>
      <c r="C15" s="40">
        <f>Scenarios!B35</f>
        <v>66.223800408836865</v>
      </c>
      <c r="D15" s="51">
        <f>Scenarios!C35</f>
        <v>178.67860699880188</v>
      </c>
      <c r="E15" s="40">
        <f>Scenarios!D35</f>
        <v>423.41669616462269</v>
      </c>
      <c r="F15" s="40"/>
      <c r="G15" s="40"/>
      <c r="H15" s="40"/>
      <c r="I15" s="40"/>
      <c r="J15" s="40"/>
      <c r="K15" s="40"/>
      <c r="L15" s="40"/>
    </row>
    <row r="16" spans="1:12" x14ac:dyDescent="0.25">
      <c r="A16" t="s">
        <v>578</v>
      </c>
      <c r="B16" t="s">
        <v>18</v>
      </c>
      <c r="C16" s="40">
        <f>Assumptions!B142</f>
        <v>281</v>
      </c>
      <c r="D16" s="51"/>
      <c r="E16" s="40"/>
      <c r="F16" s="40"/>
      <c r="G16" s="40"/>
      <c r="H16" s="40"/>
      <c r="I16" s="40"/>
      <c r="J16" s="40"/>
      <c r="K16" s="40"/>
      <c r="L16" s="40"/>
    </row>
    <row r="17" spans="1:12" x14ac:dyDescent="0.25">
      <c r="A17" t="s">
        <v>579</v>
      </c>
      <c r="B17" t="s">
        <v>13</v>
      </c>
      <c r="C17" s="16">
        <f>DCF!B34</f>
        <v>-0.65568749838812979</v>
      </c>
      <c r="D17" s="50"/>
      <c r="E17" s="16"/>
      <c r="F17" s="16"/>
      <c r="G17" s="16"/>
      <c r="H17" s="16"/>
      <c r="I17" s="16"/>
      <c r="J17" s="16"/>
      <c r="K17" s="16"/>
      <c r="L17" s="16"/>
    </row>
    <row r="18" spans="1:12" x14ac:dyDescent="0.25">
      <c r="A18" t="s">
        <v>1290</v>
      </c>
      <c r="B18" t="s">
        <v>18</v>
      </c>
      <c r="C18" s="200">
        <f>Scenarios!B41</f>
        <v>206.12668731326755</v>
      </c>
      <c r="D18"/>
      <c r="G18" s="16"/>
      <c r="H18" s="16"/>
      <c r="I18" s="16"/>
      <c r="J18" s="16"/>
      <c r="K18" s="16"/>
      <c r="L18" s="16"/>
    </row>
    <row r="19" spans="1:12" x14ac:dyDescent="0.25">
      <c r="A19" t="s">
        <v>1291</v>
      </c>
      <c r="B19" t="s">
        <v>13</v>
      </c>
      <c r="C19" s="37">
        <f>Dashboard!B28</f>
        <v>-7.3362586340473657E-2</v>
      </c>
      <c r="D19"/>
      <c r="G19" s="16"/>
      <c r="H19" s="16"/>
      <c r="I19" s="16"/>
      <c r="J19" s="16"/>
      <c r="K19" s="16"/>
      <c r="L19" s="16"/>
    </row>
    <row r="20" spans="1:12" x14ac:dyDescent="0.25">
      <c r="A20" t="s">
        <v>1067</v>
      </c>
      <c r="C20" s="199" t="str">
        <f>Dashboard!B9</f>
        <v>AVOID / SELL — negative expected return</v>
      </c>
      <c r="D20"/>
      <c r="G20" s="16"/>
      <c r="H20" s="16"/>
      <c r="I20" s="16"/>
      <c r="J20" s="16"/>
      <c r="K20" s="16"/>
      <c r="L20" s="16"/>
    </row>
    <row r="22" spans="1:12" x14ac:dyDescent="0.25">
      <c r="A22" s="4" t="s">
        <v>580</v>
      </c>
      <c r="C22" s="4" t="s">
        <v>581</v>
      </c>
      <c r="D22" s="44" t="s">
        <v>582</v>
      </c>
    </row>
    <row r="23" spans="1:12" x14ac:dyDescent="0.25">
      <c r="A23" s="212" t="s">
        <v>1320</v>
      </c>
      <c r="D23"/>
    </row>
    <row r="24" spans="1:12" x14ac:dyDescent="0.25">
      <c r="A24" t="s">
        <v>635</v>
      </c>
      <c r="B24" t="s">
        <v>585</v>
      </c>
      <c r="C24" t="s">
        <v>1321</v>
      </c>
      <c r="D24" t="s">
        <v>1322</v>
      </c>
    </row>
    <row r="25" spans="1:12" x14ac:dyDescent="0.25">
      <c r="A25" s="3" t="s">
        <v>583</v>
      </c>
    </row>
    <row r="26" spans="1:12" ht="30" x14ac:dyDescent="0.25">
      <c r="A26" t="s">
        <v>584</v>
      </c>
      <c r="B26" t="s">
        <v>585</v>
      </c>
      <c r="C26" t="s">
        <v>586</v>
      </c>
      <c r="D26" s="21" t="s">
        <v>587</v>
      </c>
    </row>
    <row r="27" spans="1:12" x14ac:dyDescent="0.25">
      <c r="A27" t="s">
        <v>945</v>
      </c>
      <c r="B27" t="s">
        <v>585</v>
      </c>
      <c r="C27" t="s">
        <v>588</v>
      </c>
      <c r="D27" s="21" t="s">
        <v>589</v>
      </c>
    </row>
    <row r="28" spans="1:12" x14ac:dyDescent="0.25">
      <c r="A28" s="3" t="s">
        <v>590</v>
      </c>
    </row>
    <row r="29" spans="1:12" ht="30" x14ac:dyDescent="0.25">
      <c r="A29" t="s">
        <v>591</v>
      </c>
      <c r="B29" t="s">
        <v>585</v>
      </c>
      <c r="C29" t="s">
        <v>592</v>
      </c>
      <c r="D29" s="21" t="s">
        <v>1604</v>
      </c>
    </row>
    <row r="30" spans="1:12" x14ac:dyDescent="0.25">
      <c r="A30" t="s">
        <v>593</v>
      </c>
      <c r="B30" t="s">
        <v>585</v>
      </c>
      <c r="C30" t="s">
        <v>594</v>
      </c>
      <c r="D30" s="21" t="s">
        <v>595</v>
      </c>
    </row>
    <row r="31" spans="1:12" ht="30" x14ac:dyDescent="0.25">
      <c r="A31" t="s">
        <v>596</v>
      </c>
      <c r="B31" t="s">
        <v>585</v>
      </c>
      <c r="C31" t="s">
        <v>597</v>
      </c>
      <c r="D31" s="21" t="s">
        <v>598</v>
      </c>
    </row>
    <row r="32" spans="1:12" x14ac:dyDescent="0.25">
      <c r="A32" t="s">
        <v>599</v>
      </c>
      <c r="B32" t="s">
        <v>585</v>
      </c>
      <c r="C32" t="s">
        <v>600</v>
      </c>
      <c r="D32" s="21" t="s">
        <v>601</v>
      </c>
    </row>
    <row r="33" spans="1:4" ht="30" x14ac:dyDescent="0.25">
      <c r="A33" t="s">
        <v>946</v>
      </c>
      <c r="B33" t="s">
        <v>585</v>
      </c>
      <c r="C33" t="s">
        <v>602</v>
      </c>
      <c r="D33" s="21" t="s">
        <v>603</v>
      </c>
    </row>
    <row r="34" spans="1:4" x14ac:dyDescent="0.25">
      <c r="A34" t="s">
        <v>1316</v>
      </c>
      <c r="B34" t="s">
        <v>585</v>
      </c>
      <c r="C34" t="s">
        <v>1317</v>
      </c>
      <c r="D34" s="21" t="s">
        <v>1318</v>
      </c>
    </row>
    <row r="35" spans="1:4" x14ac:dyDescent="0.25">
      <c r="A35" t="s">
        <v>947</v>
      </c>
      <c r="B35" t="s">
        <v>585</v>
      </c>
      <c r="C35" t="s">
        <v>948</v>
      </c>
      <c r="D35" s="21" t="s">
        <v>1319</v>
      </c>
    </row>
    <row r="36" spans="1:4" x14ac:dyDescent="0.25">
      <c r="A36" t="s">
        <v>604</v>
      </c>
      <c r="B36" t="s">
        <v>585</v>
      </c>
      <c r="C36" t="s">
        <v>605</v>
      </c>
      <c r="D36" s="21" t="s">
        <v>1603</v>
      </c>
    </row>
    <row r="37" spans="1:4" ht="30" x14ac:dyDescent="0.25">
      <c r="A37" t="s">
        <v>606</v>
      </c>
      <c r="B37" t="s">
        <v>585</v>
      </c>
      <c r="C37" t="s">
        <v>607</v>
      </c>
      <c r="D37" s="21" t="s">
        <v>608</v>
      </c>
    </row>
    <row r="38" spans="1:4" x14ac:dyDescent="0.25">
      <c r="A38" s="3" t="s">
        <v>609</v>
      </c>
    </row>
    <row r="39" spans="1:4" x14ac:dyDescent="0.25">
      <c r="A39" t="s">
        <v>610</v>
      </c>
      <c r="B39" t="s">
        <v>585</v>
      </c>
      <c r="C39" t="s">
        <v>611</v>
      </c>
      <c r="D39" s="21" t="s">
        <v>612</v>
      </c>
    </row>
    <row r="40" spans="1:4" x14ac:dyDescent="0.25">
      <c r="A40" t="s">
        <v>613</v>
      </c>
      <c r="B40" t="s">
        <v>585</v>
      </c>
      <c r="C40" t="s">
        <v>614</v>
      </c>
      <c r="D40" s="21" t="s">
        <v>615</v>
      </c>
    </row>
    <row r="41" spans="1:4" x14ac:dyDescent="0.25">
      <c r="A41" s="3" t="s">
        <v>616</v>
      </c>
    </row>
    <row r="42" spans="1:4" x14ac:dyDescent="0.25">
      <c r="A42" t="s">
        <v>617</v>
      </c>
      <c r="B42" t="s">
        <v>585</v>
      </c>
      <c r="C42" t="s">
        <v>618</v>
      </c>
      <c r="D42" s="21" t="s">
        <v>619</v>
      </c>
    </row>
    <row r="43" spans="1:4" x14ac:dyDescent="0.25">
      <c r="A43" t="s">
        <v>949</v>
      </c>
      <c r="B43" t="s">
        <v>585</v>
      </c>
      <c r="C43" t="s">
        <v>950</v>
      </c>
    </row>
    <row r="44" spans="1:4" ht="30" x14ac:dyDescent="0.25">
      <c r="A44" t="s">
        <v>620</v>
      </c>
      <c r="B44" t="s">
        <v>585</v>
      </c>
      <c r="C44" t="s">
        <v>1598</v>
      </c>
      <c r="D44" s="21" t="s">
        <v>1599</v>
      </c>
    </row>
    <row r="45" spans="1:4" x14ac:dyDescent="0.25">
      <c r="A45" t="s">
        <v>621</v>
      </c>
      <c r="B45" t="s">
        <v>585</v>
      </c>
      <c r="C45" t="s">
        <v>1596</v>
      </c>
      <c r="D45" s="21" t="s">
        <v>1597</v>
      </c>
    </row>
    <row r="46" spans="1:4" x14ac:dyDescent="0.25">
      <c r="A46" t="s">
        <v>622</v>
      </c>
      <c r="B46" t="s">
        <v>585</v>
      </c>
      <c r="C46" t="s">
        <v>623</v>
      </c>
      <c r="D46" s="21" t="s">
        <v>624</v>
      </c>
    </row>
    <row r="47" spans="1:4" x14ac:dyDescent="0.25">
      <c r="A47" s="212" t="s">
        <v>1212</v>
      </c>
      <c r="D47"/>
    </row>
    <row r="48" spans="1:4" ht="30" x14ac:dyDescent="0.25">
      <c r="A48" t="s">
        <v>1213</v>
      </c>
      <c r="B48" t="s">
        <v>585</v>
      </c>
      <c r="C48" t="s">
        <v>1214</v>
      </c>
      <c r="D48" s="21" t="s">
        <v>1215</v>
      </c>
    </row>
    <row r="49" spans="1:4" ht="30" x14ac:dyDescent="0.25">
      <c r="A49" t="s">
        <v>1216</v>
      </c>
      <c r="B49" t="s">
        <v>585</v>
      </c>
      <c r="C49" t="s">
        <v>1217</v>
      </c>
      <c r="D49" s="21" t="s">
        <v>1218</v>
      </c>
    </row>
    <row r="50" spans="1:4" ht="30" x14ac:dyDescent="0.25">
      <c r="A50" t="s">
        <v>1219</v>
      </c>
      <c r="B50" t="s">
        <v>585</v>
      </c>
      <c r="C50" t="s">
        <v>1220</v>
      </c>
      <c r="D50" s="21" t="s">
        <v>1221</v>
      </c>
    </row>
    <row r="51" spans="1:4" ht="30" x14ac:dyDescent="0.25">
      <c r="A51" t="s">
        <v>1222</v>
      </c>
      <c r="B51" t="s">
        <v>585</v>
      </c>
      <c r="C51" t="s">
        <v>1223</v>
      </c>
      <c r="D51" s="21" t="s">
        <v>1224</v>
      </c>
    </row>
    <row r="52" spans="1:4" ht="30" x14ac:dyDescent="0.25">
      <c r="A52" t="s">
        <v>1225</v>
      </c>
      <c r="B52" t="s">
        <v>585</v>
      </c>
      <c r="C52" t="s">
        <v>1226</v>
      </c>
      <c r="D52" s="21" t="s">
        <v>1227</v>
      </c>
    </row>
    <row r="53" spans="1:4" x14ac:dyDescent="0.25">
      <c r="A53" s="3" t="s">
        <v>625</v>
      </c>
    </row>
    <row r="54" spans="1:4" x14ac:dyDescent="0.25">
      <c r="A54" t="s">
        <v>626</v>
      </c>
      <c r="B54" t="s">
        <v>585</v>
      </c>
      <c r="C54" t="s">
        <v>627</v>
      </c>
      <c r="D54" s="21" t="s">
        <v>1602</v>
      </c>
    </row>
    <row r="55" spans="1:4" x14ac:dyDescent="0.25">
      <c r="A55" t="s">
        <v>628</v>
      </c>
      <c r="B55" t="s">
        <v>585</v>
      </c>
      <c r="C55" t="s">
        <v>629</v>
      </c>
      <c r="D55" s="21" t="s">
        <v>630</v>
      </c>
    </row>
    <row r="56" spans="1:4" ht="30" x14ac:dyDescent="0.25">
      <c r="A56" t="s">
        <v>631</v>
      </c>
      <c r="B56" t="s">
        <v>585</v>
      </c>
      <c r="C56" t="s">
        <v>1600</v>
      </c>
      <c r="D56" s="21" t="s">
        <v>1601</v>
      </c>
    </row>
    <row r="57" spans="1:4" x14ac:dyDescent="0.25">
      <c r="A57" t="s">
        <v>632</v>
      </c>
      <c r="B57" t="s">
        <v>585</v>
      </c>
      <c r="C57" t="s">
        <v>633</v>
      </c>
      <c r="D57" s="21" t="s">
        <v>634</v>
      </c>
    </row>
    <row r="59" spans="1:4" x14ac:dyDescent="0.25">
      <c r="A59" s="4" t="s">
        <v>636</v>
      </c>
    </row>
    <row r="60" spans="1:4" x14ac:dyDescent="0.25">
      <c r="A60" t="s">
        <v>1605</v>
      </c>
    </row>
    <row r="61" spans="1:4" x14ac:dyDescent="0.25">
      <c r="A61" t="s">
        <v>637</v>
      </c>
    </row>
    <row r="62" spans="1:4" x14ac:dyDescent="0.25">
      <c r="A62" t="s">
        <v>638</v>
      </c>
    </row>
    <row r="63" spans="1:4" x14ac:dyDescent="0.25">
      <c r="A63" t="s">
        <v>1606</v>
      </c>
    </row>
    <row r="64" spans="1:4" x14ac:dyDescent="0.25">
      <c r="A64" t="s">
        <v>639</v>
      </c>
    </row>
    <row r="65" spans="1:4" x14ac:dyDescent="0.25">
      <c r="A65" t="s">
        <v>1323</v>
      </c>
    </row>
    <row r="66" spans="1:4" x14ac:dyDescent="0.25">
      <c r="A66" t="s">
        <v>1324</v>
      </c>
      <c r="D66"/>
    </row>
    <row r="67" spans="1:4" x14ac:dyDescent="0.25">
      <c r="A67" t="s">
        <v>1325</v>
      </c>
      <c r="D67"/>
    </row>
    <row r="69" spans="1:4" x14ac:dyDescent="0.25">
      <c r="A69" s="4" t="s">
        <v>640</v>
      </c>
    </row>
    <row r="70" spans="1:4" x14ac:dyDescent="0.25">
      <c r="A70" t="s">
        <v>1591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4BA9-459A-4B7F-B958-1B2191CDE381}">
  <dimension ref="A1:Q163"/>
  <sheetViews>
    <sheetView zoomScale="60" zoomScaleNormal="60" workbookViewId="0">
      <pane xSplit="1" topLeftCell="E1" activePane="topRight" state="frozen"/>
      <selection pane="topRight" activeCell="H8" sqref="H8"/>
    </sheetView>
  </sheetViews>
  <sheetFormatPr defaultRowHeight="15" x14ac:dyDescent="0.25"/>
  <cols>
    <col min="1" max="1" width="52.5703125" customWidth="1"/>
    <col min="2" max="2" width="10.42578125" bestFit="1" customWidth="1"/>
    <col min="3" max="3" width="10.85546875" hidden="1" customWidth="1"/>
    <col min="4" max="5" width="10.85546875" customWidth="1"/>
    <col min="6" max="8" width="14.140625" customWidth="1"/>
    <col min="9" max="9" width="13.28515625" customWidth="1"/>
    <col min="10" max="15" width="14.140625" customWidth="1"/>
    <col min="16" max="16" width="76.42578125" style="24" customWidth="1"/>
    <col min="17" max="17" width="47.28515625" customWidth="1"/>
  </cols>
  <sheetData>
    <row r="1" spans="1:17" ht="18.75" x14ac:dyDescent="0.3">
      <c r="A1" s="5" t="s">
        <v>21</v>
      </c>
      <c r="Q1" s="137" t="str">
        <f>Data_Sources!$D$26&amp;" | "&amp;Data_Sources!$E$26&amp;" | "&amp;Data_Sources!$F$26</f>
        <v>Analyst estimate — not sourced from company disclosure | Judgement; sensitivity tested on the Sensitivity tab | n/a</v>
      </c>
    </row>
    <row r="2" spans="1:17" x14ac:dyDescent="0.25">
      <c r="A2" s="4" t="s">
        <v>22</v>
      </c>
      <c r="B2" s="4" t="s">
        <v>5</v>
      </c>
      <c r="C2" s="4"/>
      <c r="D2" s="6" t="s">
        <v>678</v>
      </c>
      <c r="E2" s="6" t="s">
        <v>679</v>
      </c>
      <c r="F2" s="6" t="s">
        <v>23</v>
      </c>
      <c r="G2" s="6" t="s">
        <v>6</v>
      </c>
      <c r="H2" s="6" t="s">
        <v>24</v>
      </c>
      <c r="I2" s="6" t="s">
        <v>25</v>
      </c>
      <c r="J2" s="6" t="s">
        <v>26</v>
      </c>
      <c r="K2" s="6" t="s">
        <v>27</v>
      </c>
      <c r="L2" s="6" t="s">
        <v>28</v>
      </c>
      <c r="M2" s="6" t="s">
        <v>29</v>
      </c>
      <c r="N2" s="6" t="s">
        <v>30</v>
      </c>
      <c r="O2" s="6" t="s">
        <v>7</v>
      </c>
      <c r="P2" s="25" t="s">
        <v>31</v>
      </c>
    </row>
    <row r="3" spans="1:17" x14ac:dyDescent="0.25">
      <c r="D3" s="7" t="s">
        <v>32</v>
      </c>
      <c r="E3" s="7" t="s">
        <v>32</v>
      </c>
      <c r="F3" s="7" t="s">
        <v>32</v>
      </c>
      <c r="G3" s="7" t="s">
        <v>32</v>
      </c>
      <c r="H3" s="7" t="s">
        <v>33</v>
      </c>
      <c r="I3" s="7" t="s">
        <v>33</v>
      </c>
      <c r="J3" s="7" t="s">
        <v>33</v>
      </c>
      <c r="K3" s="7" t="s">
        <v>33</v>
      </c>
      <c r="L3" s="7" t="s">
        <v>33</v>
      </c>
      <c r="M3" s="7" t="s">
        <v>33</v>
      </c>
      <c r="N3" s="7" t="s">
        <v>33</v>
      </c>
      <c r="O3" s="7" t="s">
        <v>33</v>
      </c>
    </row>
    <row r="4" spans="1:17" ht="15.75" x14ac:dyDescent="0.25">
      <c r="A4" s="62" t="s">
        <v>699</v>
      </c>
      <c r="B4" s="62"/>
      <c r="C4" s="62"/>
      <c r="D4" s="62"/>
      <c r="E4" s="62"/>
      <c r="F4" s="62"/>
      <c r="G4" s="62"/>
      <c r="H4" s="62"/>
      <c r="I4" s="62"/>
      <c r="J4" s="62"/>
      <c r="K4" s="62"/>
      <c r="L4" s="62"/>
      <c r="M4" s="62"/>
      <c r="N4" s="62"/>
      <c r="O4" s="62"/>
      <c r="P4" s="63"/>
    </row>
    <row r="6" spans="1:17" x14ac:dyDescent="0.25">
      <c r="A6" s="8" t="s">
        <v>34</v>
      </c>
      <c r="O6" s="145"/>
      <c r="Q6" s="78" t="str">
        <f>Data_Sources!$D$20&amp;" | "&amp;Data_Sources!$E$20&amp;" | "&amp;Data_Sources!$F$20</f>
        <v>Eternal Q4FY26 shareholders' letter | Q1 and Q7 of the Q&amp;A | https://b.zmtcdn.com/investor-relations/Eternal_Shareholders_Letter_Q4FY26_Results.pdf</v>
      </c>
    </row>
    <row r="7" spans="1:17" s="125" customFormat="1" x14ac:dyDescent="0.25">
      <c r="A7" s="150"/>
      <c r="B7" s="125" t="s">
        <v>13</v>
      </c>
      <c r="D7" s="109"/>
      <c r="E7" s="109"/>
      <c r="F7" s="109"/>
      <c r="G7" s="213"/>
      <c r="H7" s="213"/>
      <c r="I7" s="213"/>
      <c r="J7" s="213"/>
      <c r="K7" s="213"/>
      <c r="L7" s="213"/>
      <c r="M7" s="213"/>
      <c r="N7" s="213"/>
      <c r="O7" s="104"/>
      <c r="P7" s="252" t="s">
        <v>1395</v>
      </c>
      <c r="Q7" s="125" t="s">
        <v>1228</v>
      </c>
    </row>
    <row r="8" spans="1:17" x14ac:dyDescent="0.25">
      <c r="A8" s="141" t="s">
        <v>713</v>
      </c>
      <c r="B8" t="s">
        <v>729</v>
      </c>
      <c r="D8" s="111"/>
      <c r="E8" s="111"/>
      <c r="F8" s="111"/>
      <c r="G8" s="287">
        <f>'Revenue Schedule'!F45</f>
        <v>97.929999999999993</v>
      </c>
      <c r="H8" s="288">
        <f>ROUND((G8*(1+H9)),1)</f>
        <v>112.6</v>
      </c>
      <c r="I8" s="288">
        <f>ROUND((H8*(1+I9)),1)</f>
        <v>129.5</v>
      </c>
      <c r="J8" s="288">
        <f t="shared" ref="J8:N8" si="0">ROUND(I8*(1+J9),1)</f>
        <v>148.9</v>
      </c>
      <c r="K8" s="288">
        <f t="shared" si="0"/>
        <v>171.2</v>
      </c>
      <c r="L8" s="288">
        <f t="shared" si="0"/>
        <v>195.2</v>
      </c>
      <c r="M8" s="288">
        <f t="shared" si="0"/>
        <v>222.5</v>
      </c>
      <c r="N8" s="288">
        <f t="shared" si="0"/>
        <v>253.7</v>
      </c>
      <c r="O8" s="288">
        <f>ROUND(N8*(1+O9),1)</f>
        <v>289.2</v>
      </c>
      <c r="P8" s="252"/>
    </row>
    <row r="9" spans="1:17" s="127" customFormat="1" x14ac:dyDescent="0.25">
      <c r="A9" s="149" t="s">
        <v>718</v>
      </c>
      <c r="B9" s="127" t="s">
        <v>13</v>
      </c>
      <c r="D9" s="75"/>
      <c r="E9" s="142"/>
      <c r="F9" s="142"/>
      <c r="G9" s="289" t="str">
        <f>IFERROR(G8/F8-1,"")</f>
        <v/>
      </c>
      <c r="H9" s="213">
        <v>0.15</v>
      </c>
      <c r="I9" s="213">
        <v>0.15</v>
      </c>
      <c r="J9" s="213">
        <v>0.15</v>
      </c>
      <c r="K9" s="213">
        <v>0.15</v>
      </c>
      <c r="L9" s="213">
        <v>0.14000000000000001</v>
      </c>
      <c r="M9" s="213">
        <v>0.14000000000000001</v>
      </c>
      <c r="N9" s="213">
        <v>0.14000000000000001</v>
      </c>
      <c r="O9" s="213">
        <v>0.14000000000000001</v>
      </c>
      <c r="P9" s="252"/>
    </row>
    <row r="10" spans="1:17" s="127" customFormat="1" x14ac:dyDescent="0.25">
      <c r="A10" s="149"/>
      <c r="D10" s="75"/>
      <c r="E10" s="142"/>
      <c r="F10" s="142"/>
      <c r="G10" s="142"/>
      <c r="H10" s="104"/>
      <c r="I10" s="104"/>
      <c r="J10" s="104"/>
      <c r="K10" s="104"/>
      <c r="L10" s="104"/>
      <c r="M10" s="104"/>
      <c r="N10" s="104"/>
      <c r="O10" s="104"/>
      <c r="P10" s="252"/>
    </row>
    <row r="11" spans="1:17" x14ac:dyDescent="0.25">
      <c r="A11" s="141" t="s">
        <v>463</v>
      </c>
      <c r="B11" t="s">
        <v>18</v>
      </c>
      <c r="D11" s="65"/>
      <c r="E11" s="190">
        <f>'Revenue Schedule'!D48</f>
        <v>364.81678173127983</v>
      </c>
      <c r="F11" s="190">
        <f>'Revenue Schedule'!E48</f>
        <v>385.34240150093808</v>
      </c>
      <c r="G11" s="190">
        <f>'Revenue Schedule'!F48</f>
        <v>387.96078831818647</v>
      </c>
      <c r="H11" s="151">
        <f>ROUND((G11*(1+H12)),1)</f>
        <v>399.6</v>
      </c>
      <c r="I11" s="151">
        <f t="shared" ref="I11:O11" si="1">ROUND((H11*(1+I12)),1)</f>
        <v>411.6</v>
      </c>
      <c r="J11" s="151">
        <f t="shared" si="1"/>
        <v>423.9</v>
      </c>
      <c r="K11" s="151">
        <f t="shared" si="1"/>
        <v>436.6</v>
      </c>
      <c r="L11" s="151">
        <f t="shared" si="1"/>
        <v>449.7</v>
      </c>
      <c r="M11" s="151">
        <f t="shared" si="1"/>
        <v>463.2</v>
      </c>
      <c r="N11" s="151">
        <f t="shared" si="1"/>
        <v>477.1</v>
      </c>
      <c r="O11" s="151">
        <f t="shared" si="1"/>
        <v>491.4</v>
      </c>
      <c r="P11" s="252"/>
    </row>
    <row r="12" spans="1:17" s="143" customFormat="1" x14ac:dyDescent="0.25">
      <c r="A12" s="149" t="s">
        <v>719</v>
      </c>
      <c r="B12" s="143" t="s">
        <v>13</v>
      </c>
      <c r="D12" s="144"/>
      <c r="E12" s="290" t="str">
        <f>IFERROR(E11/D11-1,"")</f>
        <v/>
      </c>
      <c r="F12" s="290">
        <f>IFERROR(F11/E11-1,"")</f>
        <v>5.626281683712997E-2</v>
      </c>
      <c r="G12" s="290">
        <f>IFERROR(G11/F11-1,"")</f>
        <v>6.7949615901328198E-3</v>
      </c>
      <c r="H12" s="291">
        <v>0.03</v>
      </c>
      <c r="I12" s="291">
        <v>0.03</v>
      </c>
      <c r="J12" s="291">
        <v>0.03</v>
      </c>
      <c r="K12" s="291">
        <v>0.03</v>
      </c>
      <c r="L12" s="291">
        <v>0.03</v>
      </c>
      <c r="M12" s="291">
        <v>0.03</v>
      </c>
      <c r="N12" s="291">
        <v>0.03</v>
      </c>
      <c r="O12" s="291">
        <v>0.03</v>
      </c>
      <c r="P12" s="252"/>
    </row>
    <row r="13" spans="1:17" ht="23.45" customHeight="1" x14ac:dyDescent="0.25">
      <c r="A13" s="149" t="s">
        <v>36</v>
      </c>
      <c r="B13" t="s">
        <v>13</v>
      </c>
      <c r="D13" s="16"/>
      <c r="E13" s="16"/>
      <c r="F13" s="16"/>
      <c r="G13" s="77">
        <f>'Revenue Schedule'!F52</f>
        <v>0.30789882346748088</v>
      </c>
      <c r="H13" s="17">
        <v>0.315</v>
      </c>
      <c r="I13" s="17">
        <v>0.32</v>
      </c>
      <c r="J13" s="17">
        <v>0.32500000000000001</v>
      </c>
      <c r="K13" s="17">
        <v>0.33</v>
      </c>
      <c r="L13" s="17">
        <v>0.33</v>
      </c>
      <c r="M13" s="17">
        <v>0.33</v>
      </c>
      <c r="N13" s="17">
        <v>0.33</v>
      </c>
      <c r="O13" s="17">
        <v>0.33</v>
      </c>
      <c r="P13" s="128" t="s">
        <v>37</v>
      </c>
    </row>
    <row r="14" spans="1:17" x14ac:dyDescent="0.25">
      <c r="H14" s="70"/>
      <c r="I14" s="70"/>
      <c r="J14" s="70"/>
      <c r="K14" s="70"/>
      <c r="L14" s="70"/>
      <c r="M14" s="70"/>
      <c r="N14" s="70"/>
      <c r="O14" s="70"/>
    </row>
    <row r="15" spans="1:17" x14ac:dyDescent="0.25">
      <c r="A15" s="8" t="s">
        <v>39</v>
      </c>
      <c r="H15" s="70"/>
      <c r="I15" s="70"/>
      <c r="J15" s="70"/>
      <c r="K15" s="70"/>
      <c r="L15" s="70"/>
      <c r="M15" s="70"/>
      <c r="N15" s="70"/>
      <c r="O15" s="70"/>
      <c r="Q15" s="78" t="str">
        <f>Data_Sources!$D$19&amp;" | "&amp;Data_Sources!$E$19&amp;" | "&amp;Data_Sources!$F$19</f>
        <v>Eternal Q4FY26 shareholders' letter | Q2, Q3 and Q6 of the Q&amp;A | https://b.zmtcdn.com/investor-relations/Eternal_Shareholders_Letter_Q4FY26_Results.pdf</v>
      </c>
    </row>
    <row r="16" spans="1:17" ht="25.5" customHeight="1" x14ac:dyDescent="0.25">
      <c r="A16" s="141" t="s">
        <v>41</v>
      </c>
      <c r="B16" t="s">
        <v>16</v>
      </c>
      <c r="D16" s="18"/>
      <c r="E16" s="18"/>
      <c r="F16" s="59">
        <f>'Revenue Schedule'!E60</f>
        <v>1301</v>
      </c>
      <c r="G16" s="59">
        <f>'Revenue Schedule'!F60</f>
        <v>2243</v>
      </c>
      <c r="H16" s="292">
        <f t="shared" ref="H16:O16" si="2">G16+H18</f>
        <v>3343</v>
      </c>
      <c r="I16" s="292">
        <f t="shared" si="2"/>
        <v>4543</v>
      </c>
      <c r="J16" s="292">
        <f t="shared" si="2"/>
        <v>5843</v>
      </c>
      <c r="K16" s="292">
        <f t="shared" si="2"/>
        <v>7243</v>
      </c>
      <c r="L16" s="292">
        <f t="shared" si="2"/>
        <v>8693</v>
      </c>
      <c r="M16" s="292">
        <f t="shared" si="2"/>
        <v>10193</v>
      </c>
      <c r="N16" s="292">
        <f t="shared" si="2"/>
        <v>11743</v>
      </c>
      <c r="O16" s="292">
        <f t="shared" si="2"/>
        <v>13343</v>
      </c>
      <c r="P16" s="251" t="s">
        <v>1326</v>
      </c>
    </row>
    <row r="17" spans="1:16" s="3" customFormat="1" ht="17.45" customHeight="1" x14ac:dyDescent="0.25">
      <c r="A17" s="149" t="s">
        <v>894</v>
      </c>
      <c r="D17" s="27"/>
      <c r="E17" s="140"/>
      <c r="F17" s="140"/>
      <c r="G17" s="293">
        <f t="shared" ref="G17:N17" si="3">G16/F16-1</f>
        <v>0.72405841660261339</v>
      </c>
      <c r="H17" s="293">
        <f t="shared" si="3"/>
        <v>0.49041462327240293</v>
      </c>
      <c r="I17" s="293">
        <f t="shared" si="3"/>
        <v>0.35895901884534842</v>
      </c>
      <c r="J17" s="293">
        <f t="shared" si="3"/>
        <v>0.28615452344265901</v>
      </c>
      <c r="K17" s="293">
        <f t="shared" si="3"/>
        <v>0.23960294369330826</v>
      </c>
      <c r="L17" s="293">
        <f t="shared" si="3"/>
        <v>0.20019329007317399</v>
      </c>
      <c r="M17" s="293">
        <f t="shared" si="3"/>
        <v>0.17255262855170828</v>
      </c>
      <c r="N17" s="293">
        <f t="shared" si="3"/>
        <v>0.15206514274502103</v>
      </c>
      <c r="O17" s="293">
        <f>O16/N16-1</f>
        <v>0.13625138380311674</v>
      </c>
      <c r="P17" s="251"/>
    </row>
    <row r="18" spans="1:16" ht="18.95" customHeight="1" x14ac:dyDescent="0.25">
      <c r="A18" s="141" t="s">
        <v>40</v>
      </c>
      <c r="B18" t="s">
        <v>16</v>
      </c>
      <c r="D18" s="18"/>
      <c r="E18" s="292">
        <f>E16-D16</f>
        <v>0</v>
      </c>
      <c r="F18" s="18"/>
      <c r="G18" s="292">
        <f>G16-F16</f>
        <v>942</v>
      </c>
      <c r="H18" s="294">
        <v>1100</v>
      </c>
      <c r="I18" s="294">
        <v>1200</v>
      </c>
      <c r="J18" s="294">
        <v>1300</v>
      </c>
      <c r="K18" s="294">
        <v>1400</v>
      </c>
      <c r="L18" s="294">
        <v>1450</v>
      </c>
      <c r="M18" s="294">
        <v>1500</v>
      </c>
      <c r="N18" s="294">
        <v>1550</v>
      </c>
      <c r="O18" s="294">
        <v>1600</v>
      </c>
      <c r="P18" s="251"/>
    </row>
    <row r="19" spans="1:16" ht="18.95" customHeight="1" x14ac:dyDescent="0.25">
      <c r="A19" s="141" t="s">
        <v>1457</v>
      </c>
      <c r="B19" s="256">
        <v>1</v>
      </c>
      <c r="D19" s="18"/>
      <c r="E19" s="18"/>
      <c r="F19" s="18"/>
      <c r="G19" s="18"/>
      <c r="H19" s="68"/>
      <c r="I19" s="68"/>
      <c r="J19" s="68"/>
      <c r="K19" s="68"/>
      <c r="L19" s="68"/>
      <c r="M19" s="68"/>
      <c r="N19" s="68"/>
      <c r="O19" s="68"/>
      <c r="P19" s="135"/>
    </row>
    <row r="20" spans="1:16" x14ac:dyDescent="0.25">
      <c r="A20" s="141" t="s">
        <v>1458</v>
      </c>
      <c r="B20" t="s">
        <v>43</v>
      </c>
      <c r="E20" s="190">
        <f>'Revenue Schedule'!D66</f>
        <v>672</v>
      </c>
      <c r="F20" s="190">
        <f>'Revenue Schedule'!E66</f>
        <v>766</v>
      </c>
      <c r="G20" s="190">
        <f>'Revenue Schedule'!F66</f>
        <v>756</v>
      </c>
      <c r="H20" s="80">
        <f>CHOOSE($B$19,H22,H23)</f>
        <v>1200</v>
      </c>
      <c r="I20" s="80">
        <f>CHOOSE($B$19,I22,I23)</f>
        <v>1200</v>
      </c>
      <c r="J20" s="80">
        <f>CHOOSE($B$19,J22,J23)</f>
        <v>1250</v>
      </c>
      <c r="K20" s="80">
        <f>CHOOSE($B$19,K22,K23)</f>
        <v>1300</v>
      </c>
      <c r="L20" s="80">
        <f>CHOOSE($B$19,L22,L23)</f>
        <v>1350</v>
      </c>
      <c r="M20" s="80">
        <f>CHOOSE($B$19,M22,M23)</f>
        <v>1400</v>
      </c>
      <c r="N20" s="80">
        <f>CHOOSE($B$19,N22,N23)</f>
        <v>1450</v>
      </c>
      <c r="O20" s="80">
        <f>CHOOSE($B$19,O22,O23)</f>
        <v>1450</v>
      </c>
      <c r="P20" s="295" t="str">
        <f>"THROUGHPUT (price-setting). SOURCE: FY24A–FY26A NOV/store/day from the Eternal KPI databook (Data_Sources row 39): "&amp;TEXT(E20,"#,##0")&amp;" / "&amp;TEXT(F20,"#,##0")&amp;" / "&amp;TEXT(G20,"#,##0")&amp;" (INR '000). The 'INR 11 lakh' management figure had no document, date or page and is removed. FY26A START: "&amp;TEXT(G20,"#,##0")&amp;". BRIDGE: selector B19 = "&amp;B19&amp;"; FY27E "&amp;TEXT(H20,"#,##0")&amp;" is "&amp;TEXT(H20/G20-1,"+0%")&amp;" on FY26A while average stores grow "&amp;TEXT('Revenue Schedule'!G64,"0%")&amp;"; FY34E "&amp;TEXT(O20,"#,##0")&amp;". No disclosed bridge supports the FY27E step — MANUAL – OPEN. WRONG IF: new stores ramp slowly (OpMetrics maturity curve) or throughput falls as the network densifies, as it did in FY26A ("&amp;TEXT(G21,"0.0%")&amp;")."</f>
        <v>THROUGHPUT (price-setting). SOURCE: FY24A–FY26A NOV/store/day from the Eternal KPI databook (Data_Sources row 39): 672 / 766 / 756 (INR '000). The 'INR 11 lakh' management figure had no document, date or page and is removed. FY26A START: 756. BRIDGE: selector B19 = 1; FY27E 1,200 is +59% on FY26A while average stores grow 58%; FY34E 1,450. No disclosed bridge supports the FY27E step — MANUAL – OPEN. WRONG IF: new stores ramp slowly (OpMetrics maturity curve) or throughput falls as the network densifies, as it did in FY26A (-1.3%).</v>
      </c>
    </row>
    <row r="21" spans="1:16" x14ac:dyDescent="0.25">
      <c r="A21" s="149" t="s">
        <v>895</v>
      </c>
      <c r="E21" s="65"/>
      <c r="F21" s="296">
        <f>F20/E20-1</f>
        <v>0.13988095238095233</v>
      </c>
      <c r="G21" s="296">
        <f t="shared" ref="G21" si="4">G20/F20-1</f>
        <v>-1.3054830287206221E-2</v>
      </c>
      <c r="H21" s="296">
        <f t="shared" ref="H21" si="5">H20/G20-1</f>
        <v>0.58730158730158721</v>
      </c>
      <c r="I21" s="296">
        <f t="shared" ref="I21" si="6">I20/H20-1</f>
        <v>0</v>
      </c>
      <c r="J21" s="296">
        <f t="shared" ref="J21" si="7">J20/I20-1</f>
        <v>4.1666666666666741E-2</v>
      </c>
      <c r="K21" s="296">
        <f t="shared" ref="K21" si="8">K20/J20-1</f>
        <v>4.0000000000000036E-2</v>
      </c>
      <c r="L21" s="296">
        <f t="shared" ref="L21" si="9">L20/K20-1</f>
        <v>3.8461538461538547E-2</v>
      </c>
      <c r="M21" s="296">
        <f t="shared" ref="M21" si="10">M20/L20-1</f>
        <v>3.7037037037036979E-2</v>
      </c>
      <c r="N21" s="296">
        <f t="shared" ref="N21" si="11">N20/M20-1</f>
        <v>3.5714285714285809E-2</v>
      </c>
      <c r="O21" s="296">
        <f>O20/N20-1</f>
        <v>0</v>
      </c>
      <c r="P21" s="252"/>
    </row>
    <row r="22" spans="1:16" x14ac:dyDescent="0.25">
      <c r="A22" s="149" t="s">
        <v>1459</v>
      </c>
      <c r="B22" t="s">
        <v>43</v>
      </c>
      <c r="E22" s="65"/>
      <c r="F22" s="132"/>
      <c r="G22" s="132"/>
      <c r="H22" s="257">
        <v>1200</v>
      </c>
      <c r="I22" s="257">
        <v>1200</v>
      </c>
      <c r="J22" s="257">
        <v>1250</v>
      </c>
      <c r="K22" s="257">
        <v>1300</v>
      </c>
      <c r="L22" s="257">
        <v>1350</v>
      </c>
      <c r="M22" s="257">
        <v>1400</v>
      </c>
      <c r="N22" s="257">
        <v>1450</v>
      </c>
      <c r="O22" s="257">
        <v>1450</v>
      </c>
      <c r="P22" s="219"/>
    </row>
    <row r="23" spans="1:16" x14ac:dyDescent="0.25">
      <c r="A23" s="149" t="s">
        <v>1460</v>
      </c>
      <c r="B23" t="s">
        <v>43</v>
      </c>
      <c r="E23" s="65"/>
      <c r="F23" s="132"/>
      <c r="G23" s="132"/>
      <c r="H23" s="257">
        <v>1200</v>
      </c>
      <c r="I23" s="257">
        <v>1250</v>
      </c>
      <c r="J23" s="257">
        <v>1300</v>
      </c>
      <c r="K23" s="257">
        <v>1350</v>
      </c>
      <c r="L23" s="257">
        <v>1400</v>
      </c>
      <c r="M23" s="257">
        <v>1450</v>
      </c>
      <c r="N23" s="257">
        <v>1500</v>
      </c>
      <c r="O23" s="257">
        <v>1550</v>
      </c>
      <c r="P23" s="219"/>
    </row>
    <row r="24" spans="1:16" ht="18.95" customHeight="1" x14ac:dyDescent="0.25">
      <c r="A24" s="221" t="s">
        <v>1375</v>
      </c>
      <c r="D24" s="18"/>
      <c r="E24" s="18"/>
      <c r="F24" s="18"/>
      <c r="G24" s="18"/>
      <c r="H24" s="68"/>
      <c r="I24" s="68"/>
      <c r="J24" s="68"/>
      <c r="K24" s="68"/>
      <c r="L24" s="68"/>
      <c r="M24" s="68"/>
      <c r="N24" s="68"/>
      <c r="O24" s="68"/>
      <c r="P24" s="135" t="s">
        <v>1400</v>
      </c>
    </row>
    <row r="25" spans="1:16" ht="18.95" customHeight="1" x14ac:dyDescent="0.25">
      <c r="A25" s="221" t="s">
        <v>1371</v>
      </c>
      <c r="B25" t="s">
        <v>13</v>
      </c>
      <c r="D25" s="18"/>
      <c r="E25" s="18"/>
      <c r="F25" s="18"/>
      <c r="G25" s="33">
        <v>0.5</v>
      </c>
      <c r="H25" s="68"/>
      <c r="I25" s="68"/>
      <c r="J25" s="68"/>
      <c r="K25" s="68"/>
      <c r="L25" s="68"/>
      <c r="M25" s="68"/>
      <c r="N25" s="68"/>
      <c r="O25" s="68"/>
      <c r="P25" s="135" t="s">
        <v>1401</v>
      </c>
    </row>
    <row r="26" spans="1:16" ht="18.95" customHeight="1" x14ac:dyDescent="0.25">
      <c r="A26" s="221" t="s">
        <v>1364</v>
      </c>
      <c r="B26" t="s">
        <v>13</v>
      </c>
      <c r="D26" s="33">
        <v>0</v>
      </c>
      <c r="E26" s="33">
        <v>0</v>
      </c>
      <c r="F26" s="33">
        <v>0</v>
      </c>
      <c r="G26" s="33">
        <v>0</v>
      </c>
      <c r="H26" s="33">
        <v>0.5</v>
      </c>
      <c r="I26" s="33">
        <v>0.5</v>
      </c>
      <c r="J26" s="33">
        <v>0.5</v>
      </c>
      <c r="K26" s="33">
        <v>0.5</v>
      </c>
      <c r="L26" s="33">
        <v>0.5</v>
      </c>
      <c r="M26" s="33">
        <v>0.5</v>
      </c>
      <c r="N26" s="33">
        <v>0.5</v>
      </c>
      <c r="O26" s="33">
        <v>0.5</v>
      </c>
      <c r="P26" s="135" t="s">
        <v>1380</v>
      </c>
    </row>
    <row r="27" spans="1:16" ht="18.95" customHeight="1" x14ac:dyDescent="0.25">
      <c r="A27" s="141" t="s">
        <v>1365</v>
      </c>
      <c r="B27" t="s">
        <v>16</v>
      </c>
      <c r="D27" s="151">
        <f t="shared" ref="D27:O27" si="12">ROUND(D18*D26,0)</f>
        <v>0</v>
      </c>
      <c r="E27" s="151">
        <f t="shared" si="12"/>
        <v>0</v>
      </c>
      <c r="F27" s="151">
        <f t="shared" si="12"/>
        <v>0</v>
      </c>
      <c r="G27" s="151">
        <f t="shared" si="12"/>
        <v>0</v>
      </c>
      <c r="H27" s="151">
        <f t="shared" si="12"/>
        <v>550</v>
      </c>
      <c r="I27" s="151">
        <f t="shared" si="12"/>
        <v>600</v>
      </c>
      <c r="J27" s="151">
        <f t="shared" si="12"/>
        <v>650</v>
      </c>
      <c r="K27" s="151">
        <f t="shared" si="12"/>
        <v>700</v>
      </c>
      <c r="L27" s="151">
        <f t="shared" si="12"/>
        <v>725</v>
      </c>
      <c r="M27" s="151">
        <f t="shared" si="12"/>
        <v>750</v>
      </c>
      <c r="N27" s="151">
        <f t="shared" si="12"/>
        <v>775</v>
      </c>
      <c r="O27" s="151">
        <f t="shared" si="12"/>
        <v>800</v>
      </c>
      <c r="P27" s="135" t="s">
        <v>1378</v>
      </c>
    </row>
    <row r="28" spans="1:16" ht="18.95" customHeight="1" x14ac:dyDescent="0.25">
      <c r="A28" s="141" t="s">
        <v>1366</v>
      </c>
      <c r="B28" t="s">
        <v>16</v>
      </c>
      <c r="D28" s="151">
        <f t="shared" ref="D28:O28" si="13">D18-D27</f>
        <v>0</v>
      </c>
      <c r="E28" s="151">
        <f t="shared" si="13"/>
        <v>0</v>
      </c>
      <c r="F28" s="151">
        <f t="shared" si="13"/>
        <v>0</v>
      </c>
      <c r="G28" s="151">
        <f t="shared" si="13"/>
        <v>942</v>
      </c>
      <c r="H28" s="151">
        <f t="shared" si="13"/>
        <v>550</v>
      </c>
      <c r="I28" s="151">
        <f t="shared" si="13"/>
        <v>600</v>
      </c>
      <c r="J28" s="151">
        <f t="shared" si="13"/>
        <v>650</v>
      </c>
      <c r="K28" s="151">
        <f t="shared" si="13"/>
        <v>700</v>
      </c>
      <c r="L28" s="151">
        <f t="shared" si="13"/>
        <v>725</v>
      </c>
      <c r="M28" s="151">
        <f t="shared" si="13"/>
        <v>750</v>
      </c>
      <c r="N28" s="151">
        <f t="shared" si="13"/>
        <v>775</v>
      </c>
      <c r="O28" s="151">
        <f t="shared" si="13"/>
        <v>800</v>
      </c>
      <c r="P28" s="297" t="str">
        <f>"Residual of net new stores after partner adds: "&amp;TEXT(H28,"#,##0")&amp;" in FY2027E and "&amp;TEXT(O28,"#,##0")&amp;" in FY2034E at a "&amp;TEXT(O26,"0%")&amp;" FOCO share of adds (row 26)."</f>
        <v>Residual of net new stores after partner adds: 550 in FY2027E and 800 in FY2034E at a 50% FOCO share of adds (row 26).</v>
      </c>
    </row>
    <row r="29" spans="1:16" ht="18.95" customHeight="1" x14ac:dyDescent="0.25">
      <c r="A29" s="221" t="s">
        <v>1367</v>
      </c>
      <c r="B29" t="s">
        <v>16</v>
      </c>
      <c r="D29" s="93">
        <v>0</v>
      </c>
      <c r="E29" s="151">
        <f>D29+E27</f>
        <v>0</v>
      </c>
      <c r="F29" s="151">
        <f t="shared" ref="F29:O29" si="14">E29+F27</f>
        <v>0</v>
      </c>
      <c r="G29" s="151">
        <f>ROUND(G16*G25,0)</f>
        <v>1122</v>
      </c>
      <c r="H29" s="151">
        <f t="shared" si="14"/>
        <v>1672</v>
      </c>
      <c r="I29" s="151">
        <f t="shared" si="14"/>
        <v>2272</v>
      </c>
      <c r="J29" s="151">
        <f t="shared" si="14"/>
        <v>2922</v>
      </c>
      <c r="K29" s="151">
        <f t="shared" si="14"/>
        <v>3622</v>
      </c>
      <c r="L29" s="151">
        <f t="shared" si="14"/>
        <v>4347</v>
      </c>
      <c r="M29" s="151">
        <f t="shared" si="14"/>
        <v>5097</v>
      </c>
      <c r="N29" s="151">
        <f t="shared" si="14"/>
        <v>5872</v>
      </c>
      <c r="O29" s="151">
        <f t="shared" si="14"/>
        <v>6672</v>
      </c>
      <c r="P29" s="297" t="str">
        <f>"Prior year closing plus net new partner stores. Reaches "&amp;TEXT(O29,"#,##0")&amp;" by FY2034E, or "&amp;TEXT(O29/O16,"0%")&amp;" of the network."</f>
        <v>Prior year closing plus net new partner stores. Reaches 6,672 by FY2034E, or 50% of the network.</v>
      </c>
    </row>
    <row r="30" spans="1:16" ht="18.95" customHeight="1" x14ac:dyDescent="0.25">
      <c r="A30" s="221" t="s">
        <v>1368</v>
      </c>
      <c r="B30" t="s">
        <v>16</v>
      </c>
      <c r="D30" s="151">
        <f t="shared" ref="D30:O30" si="15">D16-D29</f>
        <v>0</v>
      </c>
      <c r="E30" s="151">
        <f t="shared" si="15"/>
        <v>0</v>
      </c>
      <c r="F30" s="151">
        <f t="shared" si="15"/>
        <v>1301</v>
      </c>
      <c r="G30" s="151">
        <f t="shared" si="15"/>
        <v>1121</v>
      </c>
      <c r="H30" s="151">
        <f t="shared" si="15"/>
        <v>1671</v>
      </c>
      <c r="I30" s="151">
        <f t="shared" si="15"/>
        <v>2271</v>
      </c>
      <c r="J30" s="151">
        <f t="shared" si="15"/>
        <v>2921</v>
      </c>
      <c r="K30" s="151">
        <f t="shared" si="15"/>
        <v>3621</v>
      </c>
      <c r="L30" s="151">
        <f t="shared" si="15"/>
        <v>4346</v>
      </c>
      <c r="M30" s="151">
        <f t="shared" si="15"/>
        <v>5096</v>
      </c>
      <c r="N30" s="151">
        <f t="shared" si="15"/>
        <v>5871</v>
      </c>
      <c r="O30" s="151">
        <f t="shared" si="15"/>
        <v>6671</v>
      </c>
      <c r="P30" s="135" t="s">
        <v>1379</v>
      </c>
    </row>
    <row r="31" spans="1:16" ht="18.95" customHeight="1" x14ac:dyDescent="0.25">
      <c r="A31" s="222" t="s">
        <v>1369</v>
      </c>
      <c r="D31" s="223"/>
      <c r="E31" s="18"/>
      <c r="F31" s="18"/>
      <c r="G31" s="18"/>
      <c r="H31" s="298">
        <f>H30-G30-H28</f>
        <v>0</v>
      </c>
      <c r="I31" s="298">
        <f t="shared" ref="I31:O31" si="16">I30-H30-I28</f>
        <v>0</v>
      </c>
      <c r="J31" s="298">
        <f t="shared" si="16"/>
        <v>0</v>
      </c>
      <c r="K31" s="298">
        <f t="shared" si="16"/>
        <v>0</v>
      </c>
      <c r="L31" s="298">
        <f t="shared" si="16"/>
        <v>0</v>
      </c>
      <c r="M31" s="298">
        <f t="shared" si="16"/>
        <v>0</v>
      </c>
      <c r="N31" s="298">
        <f t="shared" si="16"/>
        <v>0</v>
      </c>
      <c r="O31" s="298">
        <f t="shared" si="16"/>
        <v>0</v>
      </c>
      <c r="P31" s="297" t="str">
        <f>"Integrity check: closing COCO must equal prior year plus net new COCO. Reported on the Checks tab (COCO + FOCO tie)."</f>
        <v>Integrity check: closing COCO must equal prior year plus net new COCO. Reported on the Checks tab (COCO + FOCO tie).</v>
      </c>
    </row>
    <row r="32" spans="1:16" x14ac:dyDescent="0.25">
      <c r="A32" s="141"/>
      <c r="E32" s="65"/>
      <c r="F32" s="65"/>
      <c r="G32" s="65"/>
      <c r="H32" s="70"/>
      <c r="I32" s="70"/>
      <c r="J32" s="70"/>
      <c r="K32" s="70"/>
      <c r="L32" s="70"/>
      <c r="M32" s="70"/>
      <c r="N32" s="70"/>
      <c r="O32" s="70"/>
      <c r="P32"/>
    </row>
    <row r="33" spans="1:17" ht="30" x14ac:dyDescent="0.25">
      <c r="A33" s="141" t="s">
        <v>44</v>
      </c>
      <c r="B33" t="s">
        <v>13</v>
      </c>
      <c r="D33" s="77">
        <f>'Revenue Schedule'!C68/'Revenue Schedule'!C56</f>
        <v>0.14165202108963093</v>
      </c>
      <c r="E33" s="77">
        <f>'Revenue Schedule'!D68/'Revenue Schedule'!D56</f>
        <v>0.21917547367418833</v>
      </c>
      <c r="F33" s="77">
        <f>'Revenue Schedule'!E68/'Revenue Schedule'!E56</f>
        <v>0.23271199320548924</v>
      </c>
      <c r="G33" s="77">
        <f>'Revenue Schedule'!F68/'Revenue Schedule'!F56</f>
        <v>0.77785784878932629</v>
      </c>
      <c r="H33" s="17">
        <v>0.92</v>
      </c>
      <c r="I33" s="17">
        <v>0.92</v>
      </c>
      <c r="J33" s="17">
        <v>0.92</v>
      </c>
      <c r="K33" s="17">
        <v>0.92</v>
      </c>
      <c r="L33" s="17">
        <v>0.92</v>
      </c>
      <c r="M33" s="17">
        <v>0.92</v>
      </c>
      <c r="N33" s="17">
        <v>0.92</v>
      </c>
      <c r="O33" s="17">
        <v>0.92</v>
      </c>
      <c r="P33" s="128" t="s">
        <v>896</v>
      </c>
    </row>
    <row r="34" spans="1:17" x14ac:dyDescent="0.25">
      <c r="H34" s="70"/>
      <c r="I34" s="70"/>
      <c r="J34" s="70"/>
      <c r="K34" s="70"/>
      <c r="L34" s="70"/>
      <c r="M34" s="70"/>
      <c r="N34" s="70"/>
      <c r="O34" s="70"/>
      <c r="Q34" s="78" t="str">
        <f>Data_Sources!$D$21&amp;" | "&amp;Data_Sources!$E$21&amp;" | "&amp;Data_Sources!$F$21</f>
        <v>Eternal Q4FY26 shareholders' letter | Q9 of the Q&amp;A | https://b.zmtcdn.com/investor-relations/Eternal_Shareholders_Letter_Q4FY26_Results.pdf</v>
      </c>
    </row>
    <row r="35" spans="1:17" x14ac:dyDescent="0.25">
      <c r="A35" s="8" t="s">
        <v>45</v>
      </c>
      <c r="H35" s="70"/>
      <c r="I35" s="70"/>
      <c r="J35" s="70"/>
      <c r="K35" s="70"/>
      <c r="L35" s="70"/>
      <c r="M35" s="70"/>
      <c r="N35" s="70"/>
      <c r="O35" s="70"/>
    </row>
    <row r="36" spans="1:17" ht="32.1" customHeight="1" x14ac:dyDescent="0.25">
      <c r="A36" s="141" t="s">
        <v>35</v>
      </c>
      <c r="B36" t="s">
        <v>13</v>
      </c>
      <c r="D36" s="77">
        <f>'Revenue Schedule'!C73</f>
        <v>0</v>
      </c>
      <c r="E36" s="77">
        <f>'Revenue Schedule'!D73</f>
        <v>0</v>
      </c>
      <c r="F36" s="77">
        <f>'Revenue Schedule'!E73</f>
        <v>1.0524031007751939</v>
      </c>
      <c r="G36" s="77">
        <f>'Revenue Schedule'!F73</f>
        <v>0.42000302160447189</v>
      </c>
      <c r="H36" s="17">
        <v>0.4</v>
      </c>
      <c r="I36" s="17">
        <v>0.36</v>
      </c>
      <c r="J36" s="17">
        <v>0.32</v>
      </c>
      <c r="K36" s="17">
        <v>0.3</v>
      </c>
      <c r="L36" s="17">
        <v>0.25</v>
      </c>
      <c r="M36" s="17">
        <v>0.25</v>
      </c>
      <c r="N36" s="17">
        <v>0.25</v>
      </c>
      <c r="O36" s="17">
        <v>0.25</v>
      </c>
      <c r="P36" s="128" t="s">
        <v>1402</v>
      </c>
    </row>
    <row r="37" spans="1:17" ht="24" x14ac:dyDescent="0.25">
      <c r="A37" s="141" t="s">
        <v>898</v>
      </c>
      <c r="B37" t="s">
        <v>13</v>
      </c>
      <c r="D37" s="16"/>
      <c r="E37" s="77">
        <f>'Revenue Schedule'!D75/'Revenue Schedule'!D72</f>
        <v>7.9689922480620151E-2</v>
      </c>
      <c r="F37" s="77">
        <f>'Revenue Schedule'!E75/'Revenue Schedule'!E72</f>
        <v>0.11285692702825201</v>
      </c>
      <c r="G37" s="77">
        <f>'Revenue Schedule'!F75/'Revenue Schedule'!F72</f>
        <v>0.10352165123949357</v>
      </c>
      <c r="H37" s="17">
        <v>0.105</v>
      </c>
      <c r="I37" s="17">
        <v>0.11</v>
      </c>
      <c r="J37" s="17">
        <v>0.115</v>
      </c>
      <c r="K37" s="17">
        <v>0.12</v>
      </c>
      <c r="L37" s="17">
        <v>0.12</v>
      </c>
      <c r="M37" s="17">
        <v>0.12</v>
      </c>
      <c r="N37" s="17">
        <v>0.12</v>
      </c>
      <c r="O37" s="17">
        <v>0.12</v>
      </c>
      <c r="P37" s="126" t="s">
        <v>46</v>
      </c>
    </row>
    <row r="38" spans="1:17" x14ac:dyDescent="0.25">
      <c r="H38" s="70"/>
      <c r="I38" s="70"/>
      <c r="J38" s="70"/>
      <c r="K38" s="70"/>
      <c r="L38" s="70"/>
      <c r="M38" s="70"/>
      <c r="N38" s="70"/>
      <c r="O38" s="70"/>
      <c r="Q38" s="78" t="str">
        <f>Data_Sources!$D$22&amp;" | "&amp;Data_Sources!$E$22&amp;" | "&amp;Data_Sources!$F$22</f>
        <v>Eternal Q3FY26 shareholders' letter | Q&amp;A on the Hyperpure business | https://b.zmtcdn.com/investor-relations/Eternal_Shareholders_Letter_Q3FY26_Results.pdf</v>
      </c>
    </row>
    <row r="39" spans="1:17" x14ac:dyDescent="0.25">
      <c r="A39" s="8" t="s">
        <v>47</v>
      </c>
      <c r="H39" s="70"/>
      <c r="I39" s="70"/>
      <c r="J39" s="70"/>
      <c r="K39" s="70"/>
      <c r="L39" s="70"/>
      <c r="M39" s="70"/>
      <c r="N39" s="70"/>
      <c r="O39" s="70"/>
    </row>
    <row r="40" spans="1:17" s="61" customFormat="1" x14ac:dyDescent="0.25">
      <c r="A40" s="152" t="s">
        <v>750</v>
      </c>
      <c r="B40" s="76" t="s">
        <v>9</v>
      </c>
      <c r="D40"/>
      <c r="E40" s="9">
        <v>1970</v>
      </c>
      <c r="F40" s="299">
        <v>2699</v>
      </c>
      <c r="G40" s="299">
        <v>3722</v>
      </c>
      <c r="H40" s="121"/>
      <c r="I40" s="121"/>
      <c r="J40" s="121"/>
      <c r="K40" s="121"/>
      <c r="L40" s="121"/>
      <c r="M40" s="121"/>
      <c r="N40" s="121"/>
      <c r="O40" s="121"/>
      <c r="P40" s="127" t="s">
        <v>1461</v>
      </c>
    </row>
    <row r="41" spans="1:17" s="61" customFormat="1" x14ac:dyDescent="0.25">
      <c r="A41" s="76"/>
      <c r="B41" s="76"/>
      <c r="D41"/>
      <c r="E41"/>
      <c r="F41" s="300">
        <f t="shared" ref="F41" si="17">F40/E40-1</f>
        <v>0.37005076142131976</v>
      </c>
      <c r="G41" s="300">
        <f>G40/F40-1</f>
        <v>0.37902927010003706</v>
      </c>
      <c r="H41" s="301">
        <v>0.4</v>
      </c>
      <c r="I41" s="301">
        <v>0.4</v>
      </c>
      <c r="J41" s="301">
        <v>0.4</v>
      </c>
      <c r="K41" s="301">
        <v>0.4</v>
      </c>
      <c r="L41" s="301">
        <v>0.4</v>
      </c>
      <c r="M41" s="301">
        <v>0.4</v>
      </c>
      <c r="N41" s="301">
        <v>0.4</v>
      </c>
      <c r="O41" s="301">
        <v>0.4</v>
      </c>
      <c r="P41" s="147" t="str">
        <f>"Hyperpure restaurant revenue growth "&amp;TEXT(H41,"0%")&amp;" flat FY27E–FY34E. Guidance (Data_Sources row 22) covers ~3 years only; extending 40% for eight years has no basis — MANUAL – OPEN. FY26A actual "&amp;TEXT(G41,"0.0%")&amp;"."</f>
        <v>Hyperpure restaurant revenue growth 40% flat FY27E–FY34E. Guidance (Data_Sources row 22) covers ~3 years only; extending 40% for eight years has no basis — MANUAL – OPEN. FY26A actual 37.9%.</v>
      </c>
    </row>
    <row r="42" spans="1:17" x14ac:dyDescent="0.25">
      <c r="A42" t="s">
        <v>1462</v>
      </c>
      <c r="B42" t="s">
        <v>9</v>
      </c>
      <c r="H42" s="256">
        <v>0</v>
      </c>
      <c r="I42" s="256">
        <v>0</v>
      </c>
      <c r="J42" s="256">
        <v>0</v>
      </c>
      <c r="K42" s="256">
        <v>0</v>
      </c>
      <c r="L42" s="256">
        <v>0</v>
      </c>
      <c r="M42" s="256">
        <v>0</v>
      </c>
      <c r="N42" s="256">
        <v>0</v>
      </c>
      <c r="O42" s="256">
        <v>0</v>
      </c>
      <c r="P42" s="24" t="s">
        <v>1463</v>
      </c>
    </row>
    <row r="43" spans="1:17" x14ac:dyDescent="0.25">
      <c r="A43" s="8" t="s">
        <v>49</v>
      </c>
      <c r="H43" s="70"/>
      <c r="I43" s="70"/>
      <c r="J43" s="70"/>
      <c r="K43" s="70"/>
      <c r="L43" s="70"/>
      <c r="M43" s="70"/>
      <c r="N43" s="70"/>
      <c r="O43" s="70"/>
    </row>
    <row r="44" spans="1:17" x14ac:dyDescent="0.25">
      <c r="A44" s="141" t="s">
        <v>48</v>
      </c>
      <c r="B44" t="s">
        <v>13</v>
      </c>
      <c r="D44" s="16"/>
      <c r="E44" s="77">
        <f>'Revenue Schedule'!D87/'Revenue Schedule'!C87-1</f>
        <v>-0.90598290598290598</v>
      </c>
      <c r="F44" s="77">
        <f>'Revenue Schedule'!E87/'Revenue Schedule'!D87-1</f>
        <v>0.36363636363636354</v>
      </c>
      <c r="G44" s="67">
        <f>'Revenue Schedule'!F87/'Revenue Schedule'!E87-1</f>
        <v>1.9</v>
      </c>
      <c r="H44" s="17">
        <v>0.4</v>
      </c>
      <c r="I44" s="17">
        <v>0.35</v>
      </c>
      <c r="J44" s="17">
        <v>0.3</v>
      </c>
      <c r="K44" s="17">
        <v>0.25</v>
      </c>
      <c r="L44" s="17">
        <v>0.2</v>
      </c>
      <c r="M44" s="17">
        <v>0.15</v>
      </c>
      <c r="N44" s="17">
        <v>0.12</v>
      </c>
      <c r="O44" s="17">
        <v>0.1</v>
      </c>
      <c r="P44" s="128" t="s">
        <v>915</v>
      </c>
    </row>
    <row r="45" spans="1:17" x14ac:dyDescent="0.25">
      <c r="A45" s="80"/>
      <c r="B45" s="80"/>
      <c r="C45" s="80"/>
      <c r="D45" s="18"/>
      <c r="E45" s="18"/>
      <c r="F45" s="18"/>
      <c r="G45" s="18"/>
      <c r="H45" s="68"/>
      <c r="I45" s="68"/>
      <c r="J45" s="68"/>
      <c r="K45" s="68"/>
      <c r="L45" s="68"/>
      <c r="M45" s="68"/>
      <c r="N45" s="68"/>
      <c r="O45" s="68"/>
      <c r="P45" s="90"/>
    </row>
    <row r="46" spans="1:17" x14ac:dyDescent="0.25">
      <c r="A46" s="80"/>
      <c r="B46" s="80"/>
      <c r="C46" s="80"/>
      <c r="D46" s="37"/>
      <c r="E46" s="37"/>
      <c r="F46" s="37"/>
      <c r="G46" s="37"/>
      <c r="H46" s="79"/>
      <c r="I46" s="79"/>
      <c r="J46" s="79"/>
      <c r="K46" s="79"/>
      <c r="L46" s="79"/>
      <c r="M46" s="79"/>
      <c r="N46" s="79"/>
      <c r="O46" s="79"/>
      <c r="P46" s="90"/>
    </row>
    <row r="47" spans="1:17" x14ac:dyDescent="0.25">
      <c r="A47" s="80"/>
      <c r="B47" s="80"/>
      <c r="C47" s="80"/>
      <c r="D47" s="37"/>
      <c r="E47" s="37"/>
      <c r="F47" s="37"/>
      <c r="G47" s="37"/>
      <c r="H47" s="79"/>
      <c r="I47" s="79"/>
      <c r="J47" s="79"/>
      <c r="K47" s="79"/>
      <c r="L47" s="79"/>
      <c r="M47" s="79"/>
      <c r="N47" s="79"/>
      <c r="O47" s="79"/>
      <c r="P47" s="90"/>
    </row>
    <row r="48" spans="1:17" ht="38.450000000000003" customHeight="1" x14ac:dyDescent="0.25">
      <c r="A48" s="155" t="s">
        <v>905</v>
      </c>
      <c r="B48" s="80"/>
      <c r="C48" s="80"/>
      <c r="D48" s="37"/>
      <c r="E48" s="37"/>
      <c r="F48" s="37"/>
      <c r="G48" s="37"/>
      <c r="H48" s="79"/>
      <c r="I48" s="79"/>
      <c r="J48" s="79"/>
      <c r="K48" s="79"/>
      <c r="L48" s="79"/>
      <c r="M48" s="79"/>
      <c r="N48" s="79"/>
      <c r="O48" s="79"/>
      <c r="P48" s="128" t="s">
        <v>906</v>
      </c>
    </row>
    <row r="49" spans="1:16" s="61" customFormat="1" ht="25.5" customHeight="1" x14ac:dyDescent="0.25">
      <c r="A49" s="149" t="s">
        <v>901</v>
      </c>
      <c r="B49" s="61" t="s">
        <v>13</v>
      </c>
      <c r="D49" s="124"/>
      <c r="E49" s="110"/>
      <c r="F49" s="110"/>
      <c r="G49" s="302">
        <f>IS!G43/'Revenue Schedule'!F42</f>
        <v>5.3088726870739344E-2</v>
      </c>
      <c r="H49" s="291">
        <v>5.6000000000000001E-2</v>
      </c>
      <c r="I49" s="291">
        <v>5.8000000000000003E-2</v>
      </c>
      <c r="J49" s="291">
        <v>0.06</v>
      </c>
      <c r="K49" s="291">
        <v>0.06</v>
      </c>
      <c r="L49" s="291">
        <v>0.06</v>
      </c>
      <c r="M49" s="291">
        <v>0.06</v>
      </c>
      <c r="N49" s="291">
        <v>0.06</v>
      </c>
      <c r="O49" s="291">
        <v>0.06</v>
      </c>
      <c r="P49" s="303" t="str">
        <f>"Food delivery margin. SOURCE: Data_Sources row 20 (Q4FY26 letter Q1/Q7): long-term 5–6% of NOV. FY26A START "&amp;TEXT(G49,"0.0%")&amp;". BRIDGE: "&amp;TEXT(H49,"0.0%")&amp;" FY27E to "&amp;TEXT(O49,"0.0%")&amp;" cap. The Q1FY27 5.6% print was 'supplied by user' and is not logged — MANUAL – OPEN."</f>
        <v>Food delivery margin. SOURCE: Data_Sources row 20 (Q4FY26 letter Q1/Q7): long-term 5–6% of NOV. FY26A START 5.3%. BRIDGE: 5.6% FY27E to 6.0% cap. The Q1FY27 5.6% print was 'supplied by user' and is not logged — MANUAL – OPEN.</v>
      </c>
    </row>
    <row r="50" spans="1:16" ht="35.450000000000003" customHeight="1" x14ac:dyDescent="0.25">
      <c r="A50" s="221" t="s">
        <v>902</v>
      </c>
      <c r="B50" t="s">
        <v>13</v>
      </c>
      <c r="D50" s="77">
        <f>IS!D44/'Revenue Schedule'!C56</f>
        <v>-9.876977152899824E-2</v>
      </c>
      <c r="E50" s="77">
        <f>IS!E44/'Revenue Schedule'!D56</f>
        <v>-3.6560982576406741E-2</v>
      </c>
      <c r="F50" s="77">
        <f>IS!F44/'Revenue Schedule'!E56</f>
        <v>-1.3052612757587949E-2</v>
      </c>
      <c r="G50" s="77">
        <f>IS!G44/'Revenue Schedule'!F56</f>
        <v>-5.7033437654422665E-3</v>
      </c>
      <c r="H50" s="259">
        <f>H56</f>
        <v>5.0000000000000001E-3</v>
      </c>
      <c r="I50" s="304">
        <f>I56</f>
        <v>1.4999999999999999E-2</v>
      </c>
      <c r="J50" s="304">
        <f>J56</f>
        <v>2.5000000000000001E-2</v>
      </c>
      <c r="K50" s="304">
        <f>K56</f>
        <v>3.5000000000000003E-2</v>
      </c>
      <c r="L50" s="304">
        <f>L56</f>
        <v>4.4999999999999998E-2</v>
      </c>
      <c r="M50" s="304">
        <f>M56</f>
        <v>0.05</v>
      </c>
      <c r="N50" s="304">
        <f>N56</f>
        <v>5.5E-2</v>
      </c>
      <c r="O50" s="304">
        <f>O56</f>
        <v>0.06</v>
      </c>
      <c r="P50" s="303" t="str">
        <f>"Blinkit margin (from row 56). SOURCE: Data_Sources row 19: 5–6% steady state of NOV. FY26A START "&amp;TEXT(G50,"0.0%")&amp;". BRIDGE: "&amp;TEXT(H50,"0.0%")&amp;" FY27E to "&amp;TEXT(O50,"0.0%")&amp;" FY34E. Q1FY27 0.6% print not logged — MANUAL – OPEN."</f>
        <v>Blinkit margin (from row 56). SOURCE: Data_Sources row 19: 5–6% steady state of NOV. FY26A START -0.6%. BRIDGE: 0.5% FY27E to 6.0% FY34E. Q1FY27 0.6% print not logged — MANUAL – OPEN.</v>
      </c>
    </row>
    <row r="51" spans="1:16" ht="44.45" customHeight="1" x14ac:dyDescent="0.25">
      <c r="A51" s="141" t="s">
        <v>903</v>
      </c>
      <c r="B51" t="s">
        <v>13</v>
      </c>
      <c r="D51" s="16"/>
      <c r="E51" s="77">
        <f>IS!E45/'Revenue Schedule'!D72</f>
        <v>-1.8604651162790699E-3</v>
      </c>
      <c r="F51" s="77">
        <f>IS!F45/'Revenue Schedule'!E72</f>
        <v>-5.7410484967517755E-3</v>
      </c>
      <c r="G51" s="77">
        <f>IS!G45/'Revenue Schedule'!F72</f>
        <v>-3.393978082774763E-2</v>
      </c>
      <c r="H51" s="17">
        <v>-2.2499999999999999E-2</v>
      </c>
      <c r="I51" s="17">
        <v>-0.01</v>
      </c>
      <c r="J51" s="17">
        <v>2.5000000000000001E-2</v>
      </c>
      <c r="K51" s="17">
        <v>0.05</v>
      </c>
      <c r="L51" s="17">
        <v>0.05</v>
      </c>
      <c r="M51" s="17">
        <v>0.05</v>
      </c>
      <c r="N51" s="17">
        <v>0.05</v>
      </c>
      <c r="O51" s="17">
        <v>0.05</v>
      </c>
      <c r="P51" s="303" t="str">
        <f>"District margin. SOURCE: Data_Sources row 21 (Q4FY26 letter, Q9): USD 3bn NOV and USD 150mn Adjusted EBITDA by FY30 = 5% of NOV. FY26A START: "&amp;TEXT(G51,"0.0%")&amp;". BRIDGE: analyst glide "&amp;TEXT(H51,"0.0%")&amp;" (FY27E) to "&amp;TEXT(K51,"0.0%")&amp;" (FY30E), "&amp;TEXT(O51,"0.0%")&amp;" FY34E. WRONG IF: live-events mix keeps losses wider for longer."</f>
        <v>District margin. SOURCE: Data_Sources row 21 (Q4FY26 letter, Q9): USD 3bn NOV and USD 150mn Adjusted EBITDA by FY30 = 5% of NOV. FY26A START: -3.4%. BRIDGE: analyst glide -2.3% (FY27E) to 5.0% (FY30E), 5.0% FY34E. WRONG IF: live-events mix keeps losses wider for longer.</v>
      </c>
    </row>
    <row r="52" spans="1:16" ht="48" customHeight="1" x14ac:dyDescent="0.25">
      <c r="A52" s="141" t="s">
        <v>904</v>
      </c>
      <c r="B52" t="s">
        <v>13</v>
      </c>
      <c r="D52" s="77">
        <f>IS!D46/'Revenue Schedule'!C80</f>
        <v>-0.12881806108897742</v>
      </c>
      <c r="E52" s="77">
        <f>IS!E46/'Revenue Schedule'!D80</f>
        <v>-3.9722572509457758E-2</v>
      </c>
      <c r="F52" s="77">
        <f>IS!F46/'Revenue Schedule'!E80</f>
        <v>-1.355713363460297E-2</v>
      </c>
      <c r="G52" s="77">
        <f>IS!G46/'Revenue Schedule'!F80</f>
        <v>-3.1680954155795752E-3</v>
      </c>
      <c r="H52" s="17">
        <v>1.4999999999999999E-2</v>
      </c>
      <c r="I52" s="17">
        <v>0.03</v>
      </c>
      <c r="J52" s="17">
        <v>4.4999999999999998E-2</v>
      </c>
      <c r="K52" s="17">
        <v>0.05</v>
      </c>
      <c r="L52" s="17">
        <v>0.05</v>
      </c>
      <c r="M52" s="17">
        <v>0.05</v>
      </c>
      <c r="N52" s="17">
        <v>0.05</v>
      </c>
      <c r="O52" s="17">
        <v>0.05</v>
      </c>
      <c r="P52" s="303" t="str">
        <f>"Hyperpure margin. SOURCE: Data_Sources row 22 (Q3FY26 letter): 4–5% at ~USD 1bn revenue in ~3 years. FY26A START "&amp;TEXT(G52,"0.0%")&amp;". BRIDGE: "&amp;TEXT(H52,"0.0%")&amp;" FY27E to "&amp;TEXT(O52,"0.0%")&amp;". Q1FY27 commentary not logged — MANUAL – OPEN."</f>
        <v>Hyperpure margin. SOURCE: Data_Sources row 22 (Q3FY26 letter): 4–5% at ~USD 1bn revenue in ~3 years. FY26A START -0.3%. BRIDGE: 1.5% FY27E to 5.0%. Q1FY27 commentary not logged — MANUAL – OPEN.</v>
      </c>
    </row>
    <row r="53" spans="1:16" ht="47.1" customHeight="1" x14ac:dyDescent="0.25">
      <c r="A53" s="141" t="s">
        <v>924</v>
      </c>
      <c r="B53" t="s">
        <v>9</v>
      </c>
      <c r="D53" s="59">
        <f>IS!D47</f>
        <v>-17</v>
      </c>
      <c r="E53" s="59">
        <f>IS!E47</f>
        <v>-24</v>
      </c>
      <c r="F53" s="59">
        <f>IS!F47</f>
        <v>-12</v>
      </c>
      <c r="G53" s="59">
        <f>IS!G47</f>
        <v>-215</v>
      </c>
      <c r="H53" s="254">
        <v>-380</v>
      </c>
      <c r="I53" s="254">
        <v>-300</v>
      </c>
      <c r="J53" s="254">
        <v>-200</v>
      </c>
      <c r="K53" s="254">
        <v>-100</v>
      </c>
      <c r="L53" s="254">
        <v>-50</v>
      </c>
      <c r="M53" s="254">
        <v>0</v>
      </c>
      <c r="N53" s="254">
        <v>25</v>
      </c>
      <c r="O53" s="254">
        <v>50</v>
      </c>
      <c r="P53" s="303" t="str">
        <f>"Others Adj. EBITDA. FY26A START "&amp;TEXT(G53,"#,##0")&amp;" Cr (residual of consolidated vs segment). FY27E "&amp;TEXT(H53,"#,##0")&amp;" annualises a Q1FY27 loss that is not logged in Data_Sources — MANUAL – OPEN; tapers to "&amp;TEXT(O53,"#,##0")&amp;" by FY34E (analyst)."</f>
        <v>Others Adj. EBITDA. FY26A START -215 Cr (residual of consolidated vs segment). FY27E -380 annualises a Q1FY27 loss that is not logged in Data_Sources — MANUAL – OPEN; tapers to 50 by FY34E (analyst).</v>
      </c>
    </row>
    <row r="54" spans="1:16" ht="35.450000000000003" customHeight="1" x14ac:dyDescent="0.25">
      <c r="A54" s="221"/>
      <c r="D54" s="16"/>
      <c r="E54" s="16"/>
      <c r="F54" s="16"/>
      <c r="G54" s="16"/>
      <c r="H54" s="79"/>
      <c r="I54" s="105"/>
      <c r="J54" s="105"/>
      <c r="K54" s="105"/>
      <c r="L54" s="105"/>
      <c r="M54" s="105"/>
      <c r="N54" s="105"/>
      <c r="O54" s="105"/>
      <c r="P54" s="128"/>
    </row>
    <row r="55" spans="1:16" ht="35.450000000000003" customHeight="1" x14ac:dyDescent="0.25">
      <c r="A55" s="221" t="s">
        <v>1502</v>
      </c>
      <c r="D55" s="16"/>
      <c r="E55" s="16"/>
      <c r="F55" s="16"/>
      <c r="G55" s="16"/>
      <c r="H55" s="79"/>
      <c r="I55" s="79"/>
      <c r="J55" s="79"/>
      <c r="K55" s="79"/>
      <c r="L55" s="79"/>
      <c r="M55" s="79"/>
      <c r="N55" s="79"/>
      <c r="O55" s="79"/>
      <c r="P55" s="128"/>
    </row>
    <row r="56" spans="1:16" ht="39" customHeight="1" x14ac:dyDescent="0.25">
      <c r="A56" s="141" t="s">
        <v>1501</v>
      </c>
      <c r="B56" t="s">
        <v>13</v>
      </c>
      <c r="D56" s="16"/>
      <c r="E56" s="16"/>
      <c r="F56" s="16"/>
      <c r="G56" s="16"/>
      <c r="H56" s="33">
        <v>5.0000000000000001E-3</v>
      </c>
      <c r="I56" s="33">
        <v>1.4999999999999999E-2</v>
      </c>
      <c r="J56" s="33">
        <v>2.5000000000000001E-2</v>
      </c>
      <c r="K56" s="33">
        <v>3.5000000000000003E-2</v>
      </c>
      <c r="L56" s="33">
        <v>4.4999999999999998E-2</v>
      </c>
      <c r="M56" s="33">
        <v>0.05</v>
      </c>
      <c r="N56" s="33">
        <v>5.5E-2</v>
      </c>
      <c r="O56" s="33">
        <v>0.06</v>
      </c>
      <c r="P56" s="128" t="s">
        <v>1394</v>
      </c>
    </row>
    <row r="57" spans="1:16" ht="44.45" customHeight="1" x14ac:dyDescent="0.25">
      <c r="A57" s="271"/>
      <c r="B57" s="271"/>
      <c r="C57" s="271"/>
      <c r="D57" s="272"/>
      <c r="E57" s="272"/>
      <c r="F57" s="272"/>
      <c r="G57" s="272"/>
      <c r="H57" s="273"/>
      <c r="I57" s="273"/>
      <c r="J57" s="273"/>
      <c r="K57" s="273"/>
      <c r="L57" s="273"/>
      <c r="M57" s="273"/>
      <c r="N57" s="273"/>
      <c r="O57" s="273"/>
      <c r="P57" s="274"/>
    </row>
    <row r="58" spans="1:16" ht="35.450000000000003" customHeight="1" x14ac:dyDescent="0.25">
      <c r="A58" s="271"/>
      <c r="B58" s="271"/>
      <c r="C58" s="271"/>
      <c r="D58" s="272"/>
      <c r="E58" s="272"/>
      <c r="F58" s="272"/>
      <c r="G58" s="272"/>
      <c r="H58" s="275"/>
      <c r="I58" s="275"/>
      <c r="J58" s="275"/>
      <c r="K58" s="275"/>
      <c r="L58" s="275"/>
      <c r="M58" s="275"/>
      <c r="N58" s="275"/>
      <c r="O58" s="275"/>
      <c r="P58" s="274"/>
    </row>
    <row r="59" spans="1:16" ht="35.450000000000003" customHeight="1" x14ac:dyDescent="0.25">
      <c r="A59" s="271"/>
      <c r="B59" s="271"/>
      <c r="C59" s="271"/>
      <c r="D59" s="272"/>
      <c r="E59" s="272"/>
      <c r="F59" s="272"/>
      <c r="G59" s="272"/>
      <c r="H59" s="276"/>
      <c r="I59" s="276"/>
      <c r="J59" s="276"/>
      <c r="K59" s="276"/>
      <c r="L59" s="276"/>
      <c r="M59" s="276"/>
      <c r="N59" s="276"/>
      <c r="O59" s="276"/>
      <c r="P59" s="274"/>
    </row>
    <row r="60" spans="1:16" ht="35.450000000000003" customHeight="1" x14ac:dyDescent="0.25">
      <c r="A60" s="271"/>
      <c r="B60" s="271"/>
      <c r="C60" s="271"/>
      <c r="D60" s="272"/>
      <c r="E60" s="272"/>
      <c r="F60" s="272"/>
      <c r="G60" s="272"/>
      <c r="H60" s="273"/>
      <c r="I60" s="273"/>
      <c r="J60" s="273"/>
      <c r="K60" s="273"/>
      <c r="L60" s="273"/>
      <c r="M60" s="273"/>
      <c r="N60" s="273"/>
      <c r="O60" s="273"/>
      <c r="P60" s="274"/>
    </row>
    <row r="61" spans="1:16" ht="35.450000000000003" customHeight="1" x14ac:dyDescent="0.25">
      <c r="A61" s="271"/>
      <c r="B61" s="271"/>
      <c r="C61" s="271"/>
      <c r="D61" s="272"/>
      <c r="E61" s="272"/>
      <c r="F61" s="272"/>
      <c r="G61" s="272"/>
      <c r="H61" s="273"/>
      <c r="I61" s="273"/>
      <c r="J61" s="273"/>
      <c r="K61" s="273"/>
      <c r="L61" s="273"/>
      <c r="M61" s="273"/>
      <c r="N61" s="273"/>
      <c r="O61" s="273"/>
      <c r="P61" s="274"/>
    </row>
    <row r="62" spans="1:16" ht="35.450000000000003" customHeight="1" x14ac:dyDescent="0.25">
      <c r="A62" s="271"/>
      <c r="B62" s="271"/>
      <c r="C62" s="271"/>
      <c r="D62" s="272"/>
      <c r="E62" s="272"/>
      <c r="F62" s="272"/>
      <c r="G62" s="272"/>
      <c r="H62" s="273"/>
      <c r="I62" s="273"/>
      <c r="J62" s="273"/>
      <c r="K62" s="273"/>
      <c r="L62" s="273"/>
      <c r="M62" s="273"/>
      <c r="N62" s="273"/>
      <c r="O62" s="273"/>
      <c r="P62" s="274"/>
    </row>
    <row r="63" spans="1:16" ht="35.450000000000003" customHeight="1" x14ac:dyDescent="0.25">
      <c r="A63" s="271"/>
      <c r="B63" s="271"/>
      <c r="C63" s="271"/>
      <c r="D63" s="272"/>
      <c r="E63" s="272"/>
      <c r="F63" s="272"/>
      <c r="G63" s="272"/>
      <c r="H63" s="273"/>
      <c r="I63" s="273"/>
      <c r="J63" s="273"/>
      <c r="K63" s="273"/>
      <c r="L63" s="273"/>
      <c r="M63" s="273"/>
      <c r="N63" s="273"/>
      <c r="O63" s="273"/>
      <c r="P63" s="274"/>
    </row>
    <row r="64" spans="1:16" ht="35.450000000000003" customHeight="1" x14ac:dyDescent="0.25">
      <c r="A64" s="271"/>
      <c r="B64" s="271"/>
      <c r="C64" s="271"/>
      <c r="D64" s="272"/>
      <c r="E64" s="272"/>
      <c r="F64" s="272"/>
      <c r="G64" s="272"/>
      <c r="H64" s="277"/>
      <c r="I64" s="277"/>
      <c r="J64" s="277"/>
      <c r="K64" s="277"/>
      <c r="L64" s="277"/>
      <c r="M64" s="277"/>
      <c r="N64" s="277"/>
      <c r="O64" s="277"/>
      <c r="P64" s="274"/>
    </row>
    <row r="65" spans="1:16" ht="35.450000000000003" customHeight="1" x14ac:dyDescent="0.25">
      <c r="A65" s="271"/>
      <c r="B65" s="271"/>
      <c r="C65" s="271"/>
      <c r="D65" s="272"/>
      <c r="E65" s="272"/>
      <c r="F65" s="272"/>
      <c r="G65" s="272"/>
      <c r="H65" s="278"/>
      <c r="I65" s="278"/>
      <c r="J65" s="278"/>
      <c r="K65" s="278"/>
      <c r="L65" s="278"/>
      <c r="M65" s="278"/>
      <c r="N65" s="278"/>
      <c r="O65" s="278"/>
      <c r="P65" s="274"/>
    </row>
    <row r="66" spans="1:16" x14ac:dyDescent="0.25">
      <c r="A66" s="80"/>
      <c r="B66" s="80"/>
      <c r="C66" s="80"/>
      <c r="D66" s="37"/>
      <c r="E66" s="37"/>
      <c r="F66" s="37"/>
      <c r="G66" s="37"/>
      <c r="H66" s="79"/>
      <c r="I66" s="79"/>
      <c r="J66" s="79"/>
      <c r="K66" s="79"/>
      <c r="L66" s="79"/>
      <c r="M66" s="79"/>
      <c r="N66" s="79"/>
      <c r="O66" s="79"/>
      <c r="P66" s="90"/>
    </row>
    <row r="67" spans="1:16" x14ac:dyDescent="0.25">
      <c r="A67" t="s">
        <v>1506</v>
      </c>
      <c r="B67" t="s">
        <v>9</v>
      </c>
      <c r="G67" s="256">
        <v>12706</v>
      </c>
      <c r="P67" s="24" t="s">
        <v>1507</v>
      </c>
    </row>
    <row r="68" spans="1:16" ht="33" customHeight="1" x14ac:dyDescent="0.25">
      <c r="A68" s="8" t="s">
        <v>344</v>
      </c>
      <c r="P68" s="128" t="s">
        <v>914</v>
      </c>
    </row>
    <row r="69" spans="1:16" x14ac:dyDescent="0.25">
      <c r="A69" s="141" t="s">
        <v>912</v>
      </c>
      <c r="B69" t="s">
        <v>13</v>
      </c>
      <c r="H69" s="305">
        <v>0.27500000000000002</v>
      </c>
      <c r="I69" s="305">
        <v>0.28499999999999998</v>
      </c>
      <c r="J69" s="305">
        <v>0.28999999999999998</v>
      </c>
      <c r="K69" s="305">
        <v>0.29499999999999998</v>
      </c>
      <c r="L69" s="305">
        <v>0.3</v>
      </c>
      <c r="M69" s="305">
        <v>0.3</v>
      </c>
      <c r="N69" s="305">
        <v>0.30499999999999999</v>
      </c>
      <c r="O69" s="305">
        <v>0.30499999999999999</v>
      </c>
      <c r="P69" s="147" t="str">
        <f>"Blinkit gross profit % of NOV. Q1FY27 27.5% and the +1pp 1P accretion are cited from Q1FY27 commentary that is not logged in Data_Sources — MANUAL – OPEN. Path "&amp;TEXT(H69,"0.0%")&amp;" FY27E to "&amp;TEXT(O69,"0.0%")&amp;" FY34E feeds row 71."</f>
        <v>Blinkit gross profit % of NOV. Q1FY27 27.5% and the +1pp 1P accretion are cited from Q1FY27 commentary that is not logged in Data_Sources — MANUAL – OPEN. Path 27.5% FY27E to 30.5% FY34E feeds row 71.</v>
      </c>
    </row>
    <row r="70" spans="1:16" x14ac:dyDescent="0.25">
      <c r="A70" s="141" t="s">
        <v>913</v>
      </c>
      <c r="B70" t="s">
        <v>13</v>
      </c>
      <c r="H70" s="305">
        <v>1.7999999999999999E-2</v>
      </c>
      <c r="I70" s="305">
        <v>1.7000000000000001E-2</v>
      </c>
      <c r="J70" s="305">
        <v>1.6E-2</v>
      </c>
      <c r="K70" s="305">
        <v>1.4999999999999999E-2</v>
      </c>
      <c r="L70" s="305">
        <v>1.4E-2</v>
      </c>
      <c r="M70" s="305">
        <v>1.2999999999999999E-2</v>
      </c>
      <c r="N70" s="305">
        <v>1.2999999999999999E-2</v>
      </c>
      <c r="O70" s="305">
        <v>1.2E-2</v>
      </c>
      <c r="P70" s="127" t="s">
        <v>916</v>
      </c>
    </row>
    <row r="71" spans="1:16" ht="19.5" customHeight="1" x14ac:dyDescent="0.25">
      <c r="A71" s="141" t="s">
        <v>918</v>
      </c>
      <c r="B71" t="s">
        <v>13</v>
      </c>
      <c r="D71" s="305">
        <v>1</v>
      </c>
      <c r="E71" s="305">
        <v>1</v>
      </c>
      <c r="F71" s="305">
        <v>1</v>
      </c>
      <c r="G71" s="67">
        <f>G67/'Revenue Schedule'!F68</f>
        <v>0.33632441303369598</v>
      </c>
      <c r="H71" s="306">
        <f t="shared" ref="H71:O71" si="18">IFERROR(H69/H33,"n.a.")</f>
        <v>0.29891304347826086</v>
      </c>
      <c r="I71" s="306">
        <f t="shared" si="18"/>
        <v>0.30978260869565211</v>
      </c>
      <c r="J71" s="306">
        <f t="shared" si="18"/>
        <v>0.31521739130434778</v>
      </c>
      <c r="K71" s="306">
        <f t="shared" si="18"/>
        <v>0.32065217391304346</v>
      </c>
      <c r="L71" s="306">
        <f t="shared" si="18"/>
        <v>0.32608695652173908</v>
      </c>
      <c r="M71" s="306">
        <f t="shared" si="18"/>
        <v>0.32608695652173908</v>
      </c>
      <c r="N71" s="306">
        <f t="shared" si="18"/>
        <v>0.33152173913043476</v>
      </c>
      <c r="O71" s="306">
        <f t="shared" si="18"/>
        <v>0.33152173913043476</v>
      </c>
      <c r="P71" s="303" t="str">
        <f>"FY26A = Blinkit gross profit (G67) / Blinkit revenue. Forecast DERIVED: row 69 (gross profit % of NOV) ÷ row 33 (revenue as % of NOV): FY27E "&amp;TEXT(H71,"0.0%")&amp;". Feeds Cost Schedule row 6."</f>
        <v>FY26A = Blinkit gross profit (G67) / Blinkit revenue. Forecast DERIVED: row 69 (gross profit % of NOV) ÷ row 33 (revenue as % of NOV): FY27E 29.9%. Feeds Cost Schedule row 6.</v>
      </c>
    </row>
    <row r="72" spans="1:16" ht="37.5" customHeight="1" x14ac:dyDescent="0.25">
      <c r="A72" s="141" t="s">
        <v>345</v>
      </c>
      <c r="B72" t="s">
        <v>13</v>
      </c>
      <c r="D72" s="67">
        <f>1-('Cost Schedule'!D6-'Revenue Schedule'!C68*(1-D71))/'Revenue Schedule'!C80</f>
        <v>7.3705179282868571E-2</v>
      </c>
      <c r="E72" s="67">
        <f>1-('Cost Schedule'!E6-'Revenue Schedule'!D68*(1-E71))/'Revenue Schedule'!D80</f>
        <v>9.1424968474148827E-2</v>
      </c>
      <c r="F72" s="67">
        <f>1-('Cost Schedule'!F6-'Revenue Schedule'!E68*(1-F71))/'Revenue Schedule'!E80</f>
        <v>0.10183989670755322</v>
      </c>
      <c r="G72" s="67">
        <f>1-('Cost Schedule'!G6-'Revenue Schedule'!F68*(1-G71))/'Revenue Schedule'!F80</f>
        <v>5.0689526649273176E-2</v>
      </c>
      <c r="H72" s="307">
        <v>0.12</v>
      </c>
      <c r="I72" s="307">
        <v>0.125</v>
      </c>
      <c r="J72" s="307">
        <v>0.13</v>
      </c>
      <c r="K72" s="307">
        <v>0.13</v>
      </c>
      <c r="L72" s="307">
        <v>0.13500000000000001</v>
      </c>
      <c r="M72" s="307">
        <v>0.13500000000000001</v>
      </c>
      <c r="N72" s="307">
        <v>0.14000000000000001</v>
      </c>
      <c r="O72" s="307">
        <v>0.14000000000000001</v>
      </c>
      <c r="P72" s="128" t="s">
        <v>917</v>
      </c>
    </row>
    <row r="73" spans="1:16" ht="30" x14ac:dyDescent="0.25">
      <c r="A73" s="141" t="s">
        <v>919</v>
      </c>
      <c r="B73" t="s">
        <v>13</v>
      </c>
      <c r="D73" s="67">
        <f>'Cost Schedule'!D25</f>
        <v>0.3583839525356689</v>
      </c>
      <c r="E73" s="67">
        <f>'Cost Schedule'!E25</f>
        <v>0.32317979197622587</v>
      </c>
      <c r="F73" s="67">
        <f>'Cost Schedule'!F25</f>
        <v>0.28296201155955147</v>
      </c>
      <c r="G73" s="67">
        <f>'Cost Schedule'!G25</f>
        <v>0.16674637627841954</v>
      </c>
      <c r="H73" s="308">
        <v>0.16379582432093465</v>
      </c>
      <c r="I73" s="308">
        <v>0.16062984982708306</v>
      </c>
      <c r="J73" s="308">
        <v>0.15752497735799412</v>
      </c>
      <c r="K73" s="308">
        <v>0.15445053814165327</v>
      </c>
      <c r="L73" s="308">
        <v>0.15140517422411107</v>
      </c>
      <c r="M73" s="308">
        <v>0.14836866896581211</v>
      </c>
      <c r="N73" s="308">
        <v>0.14636498219551064</v>
      </c>
      <c r="O73" s="308">
        <v>0.14334057789376087</v>
      </c>
      <c r="P73" s="128" t="s">
        <v>921</v>
      </c>
    </row>
    <row r="74" spans="1:16" ht="30" x14ac:dyDescent="0.25">
      <c r="A74" s="141" t="s">
        <v>827</v>
      </c>
      <c r="B74" t="s">
        <v>13</v>
      </c>
      <c r="D74" s="67">
        <f>'Cost Schedule'!D26</f>
        <v>0.20695013419974573</v>
      </c>
      <c r="E74" s="67">
        <f>'Cost Schedule'!E26</f>
        <v>0.1369489846458643</v>
      </c>
      <c r="F74" s="67">
        <f>'Cost Schedule'!F26</f>
        <v>0.12636466926838907</v>
      </c>
      <c r="G74" s="67">
        <f>'Cost Schedule'!G26</f>
        <v>6.5043043190346553E-2</v>
      </c>
      <c r="H74" s="308">
        <v>5.9375986316338808E-2</v>
      </c>
      <c r="I74" s="308">
        <v>5.5248483380015832E-2</v>
      </c>
      <c r="J74" s="308">
        <v>5.114447316817991E-2</v>
      </c>
      <c r="K74" s="308">
        <v>4.8074008560647051E-2</v>
      </c>
      <c r="L74" s="308">
        <v>4.6035357027601337E-2</v>
      </c>
      <c r="M74" s="308">
        <v>4.3998984589861526E-2</v>
      </c>
      <c r="N74" s="308">
        <v>4.2988316449031103E-2</v>
      </c>
      <c r="O74" s="308">
        <v>4.1978312097458538E-2</v>
      </c>
      <c r="P74" s="128" t="s">
        <v>922</v>
      </c>
    </row>
    <row r="75" spans="1:16" ht="45" x14ac:dyDescent="0.25">
      <c r="A75" s="141" t="s">
        <v>828</v>
      </c>
      <c r="B75" t="s">
        <v>13</v>
      </c>
      <c r="D75" s="67">
        <f>'Cost Schedule'!D27</f>
        <v>0.17332956632292695</v>
      </c>
      <c r="E75" s="67">
        <f>'Cost Schedule'!E27</f>
        <v>0.1182103351494139</v>
      </c>
      <c r="F75" s="67">
        <f>'Cost Schedule'!F27</f>
        <v>9.7416390851158427E-2</v>
      </c>
      <c r="G75" s="67">
        <f>'Cost Schedule'!G27</f>
        <v>6.1621661393569276E-2</v>
      </c>
      <c r="H75" s="308">
        <v>5.8352262414332966E-2</v>
      </c>
      <c r="I75" s="308">
        <v>5.5248483380015832E-2</v>
      </c>
      <c r="J75" s="308">
        <v>5.114447316817991E-2</v>
      </c>
      <c r="K75" s="308">
        <v>4.9096859806618265E-2</v>
      </c>
      <c r="L75" s="308">
        <v>4.7058364961548034E-2</v>
      </c>
      <c r="M75" s="308">
        <v>4.5022216789625744E-2</v>
      </c>
      <c r="N75" s="308">
        <v>4.4011847793055642E-2</v>
      </c>
      <c r="O75" s="308">
        <v>4.3002173368128255E-2</v>
      </c>
      <c r="P75" s="128" t="s">
        <v>923</v>
      </c>
    </row>
    <row r="76" spans="1:16" ht="42.6" customHeight="1" x14ac:dyDescent="0.25">
      <c r="A76" s="141" t="s">
        <v>748</v>
      </c>
      <c r="B76" t="s">
        <v>13</v>
      </c>
      <c r="D76" s="77">
        <f>IFERROR('Revenue Schedule'!C37,"")</f>
        <v>5.7252314568479304E-2</v>
      </c>
      <c r="E76" s="77">
        <f>IFERROR('Revenue Schedule'!D37,"")</f>
        <v>3.4727952239965054E-2</v>
      </c>
      <c r="F76" s="77">
        <f>IFERROR('Revenue Schedule'!E37,"")</f>
        <v>2.1890965530621483E-2</v>
      </c>
      <c r="G76" s="77">
        <f>IFERROR('Revenue Schedule'!F37,"")</f>
        <v>1.6037932471863275E-2</v>
      </c>
      <c r="H76" s="17">
        <v>1.6E-2</v>
      </c>
      <c r="I76" s="17">
        <v>1.6E-2</v>
      </c>
      <c r="J76" s="17">
        <v>1.6E-2</v>
      </c>
      <c r="K76" s="17">
        <v>1.6E-2</v>
      </c>
      <c r="L76" s="17">
        <v>1.6E-2</v>
      </c>
      <c r="M76" s="17">
        <v>1.6E-2</v>
      </c>
      <c r="N76" s="17">
        <v>1.6E-2</v>
      </c>
      <c r="O76" s="17">
        <v>1.6E-2</v>
      </c>
      <c r="P76" s="128" t="s">
        <v>900</v>
      </c>
    </row>
    <row r="77" spans="1:16" ht="60" x14ac:dyDescent="0.25">
      <c r="A77" t="s">
        <v>1464</v>
      </c>
      <c r="B77" t="s">
        <v>13</v>
      </c>
      <c r="D77" s="189">
        <f>'Cost Schedule'!D28</f>
        <v>0.23520271224749259</v>
      </c>
      <c r="E77" s="189">
        <f>'Cost Schedule'!E28</f>
        <v>0.18028727092620109</v>
      </c>
      <c r="F77" s="189">
        <f>'Cost Schedule'!F28</f>
        <v>0.18687941510645656</v>
      </c>
      <c r="G77" s="189">
        <f>'Cost Schedule'!G28</f>
        <v>0.12946067250386284</v>
      </c>
      <c r="H77" s="259">
        <f>MAX($B$93,G77-$B$92)</f>
        <v>0.11946067250386284</v>
      </c>
      <c r="I77" s="259">
        <f>MAX($B$93,H77-$B$92)</f>
        <v>0.10946067250386285</v>
      </c>
      <c r="J77" s="259">
        <f>MAX($B$93,I77-$B$92)</f>
        <v>9.9460672503862854E-2</v>
      </c>
      <c r="K77" s="259">
        <f>MAX($B$93,J77-$B$92)</f>
        <v>8.9460672503862859E-2</v>
      </c>
      <c r="L77" s="259">
        <f>MAX($B$93,K77-$B$92)</f>
        <v>7.9460672503862864E-2</v>
      </c>
      <c r="M77" s="259">
        <f>MAX($B$93,L77-$B$92)</f>
        <v>6.9460672503862869E-2</v>
      </c>
      <c r="N77" s="259">
        <f>MAX($B$93,M77-$B$92)</f>
        <v>5.9460672503862867E-2</v>
      </c>
      <c r="O77" s="259">
        <f>MAX($B$93,N77-$B$92)</f>
        <v>5.5E-2</v>
      </c>
      <c r="P77" s="26" t="s">
        <v>1465</v>
      </c>
    </row>
    <row r="78" spans="1:16" x14ac:dyDescent="0.25">
      <c r="A78" s="155" t="s">
        <v>925</v>
      </c>
      <c r="B78" s="80"/>
      <c r="C78" s="80"/>
      <c r="D78" s="60"/>
      <c r="E78" s="60"/>
      <c r="F78" s="60"/>
      <c r="G78" s="60"/>
      <c r="H78" s="60"/>
      <c r="I78" s="60"/>
      <c r="J78" s="60"/>
      <c r="K78" s="60"/>
      <c r="L78" s="60"/>
      <c r="M78" s="60"/>
      <c r="N78" s="60"/>
      <c r="O78" s="60"/>
      <c r="P78" s="90"/>
    </row>
    <row r="79" spans="1:16" x14ac:dyDescent="0.25">
      <c r="A79" s="181" t="s">
        <v>847</v>
      </c>
      <c r="B79" s="80" t="s">
        <v>13</v>
      </c>
      <c r="C79" s="80"/>
      <c r="D79" s="33">
        <v>0.17</v>
      </c>
      <c r="E79" s="33">
        <v>0.17</v>
      </c>
      <c r="F79" s="33">
        <v>0.17</v>
      </c>
      <c r="G79" s="33">
        <v>0.17</v>
      </c>
      <c r="H79" s="33">
        <v>0.17</v>
      </c>
      <c r="I79" s="33">
        <v>0.17</v>
      </c>
      <c r="J79" s="33">
        <v>0.17</v>
      </c>
      <c r="K79" s="33">
        <v>0.17</v>
      </c>
      <c r="L79" s="33">
        <v>0.17</v>
      </c>
      <c r="M79" s="33">
        <v>0.17</v>
      </c>
      <c r="N79" s="33">
        <v>0.17</v>
      </c>
      <c r="O79" s="33">
        <v>0.17</v>
      </c>
      <c r="P79" s="90"/>
    </row>
    <row r="80" spans="1:16" x14ac:dyDescent="0.25">
      <c r="A80" s="181" t="s">
        <v>848</v>
      </c>
      <c r="B80" s="80" t="s">
        <v>13</v>
      </c>
      <c r="C80" s="80"/>
      <c r="D80" s="33">
        <v>0.15</v>
      </c>
      <c r="E80" s="33">
        <v>0.15</v>
      </c>
      <c r="F80" s="33">
        <v>0.15</v>
      </c>
      <c r="G80" s="33">
        <v>0.15</v>
      </c>
      <c r="H80" s="33">
        <v>0.15</v>
      </c>
      <c r="I80" s="33">
        <v>0.15</v>
      </c>
      <c r="J80" s="33">
        <v>0.15</v>
      </c>
      <c r="K80" s="33">
        <v>0.15</v>
      </c>
      <c r="L80" s="33">
        <v>0.15</v>
      </c>
      <c r="M80" s="33">
        <v>0.15</v>
      </c>
      <c r="N80" s="33">
        <v>0.15</v>
      </c>
      <c r="O80" s="33">
        <v>0.15</v>
      </c>
      <c r="P80" s="90"/>
    </row>
    <row r="81" spans="1:16" x14ac:dyDescent="0.25">
      <c r="A81" s="181" t="s">
        <v>849</v>
      </c>
      <c r="B81" s="80" t="s">
        <v>13</v>
      </c>
      <c r="C81" s="80"/>
      <c r="D81" s="33">
        <v>0.12</v>
      </c>
      <c r="E81" s="33">
        <v>0.12</v>
      </c>
      <c r="F81" s="33">
        <v>0.12</v>
      </c>
      <c r="G81" s="33">
        <v>0.12</v>
      </c>
      <c r="H81" s="33">
        <v>0.12</v>
      </c>
      <c r="I81" s="33">
        <v>0.12</v>
      </c>
      <c r="J81" s="33">
        <v>0.12</v>
      </c>
      <c r="K81" s="33">
        <v>0.12</v>
      </c>
      <c r="L81" s="33">
        <v>0.12</v>
      </c>
      <c r="M81" s="33">
        <v>0.12</v>
      </c>
      <c r="N81" s="33">
        <v>0.12</v>
      </c>
      <c r="O81" s="33">
        <v>0.12</v>
      </c>
      <c r="P81" s="90"/>
    </row>
    <row r="82" spans="1:16" x14ac:dyDescent="0.25">
      <c r="A82" s="181" t="s">
        <v>850</v>
      </c>
      <c r="B82" s="80" t="s">
        <v>13</v>
      </c>
      <c r="C82" s="80"/>
      <c r="D82" s="33">
        <v>0.08</v>
      </c>
      <c r="E82" s="33">
        <v>0.08</v>
      </c>
      <c r="F82" s="33">
        <v>0.08</v>
      </c>
      <c r="G82" s="33">
        <v>0.08</v>
      </c>
      <c r="H82" s="33">
        <v>0.08</v>
      </c>
      <c r="I82" s="33">
        <v>0.08</v>
      </c>
      <c r="J82" s="33">
        <v>0.08</v>
      </c>
      <c r="K82" s="33">
        <v>0.08</v>
      </c>
      <c r="L82" s="33">
        <v>0.08</v>
      </c>
      <c r="M82" s="33">
        <v>0.08</v>
      </c>
      <c r="N82" s="33">
        <v>0.08</v>
      </c>
      <c r="O82" s="33">
        <v>0.08</v>
      </c>
      <c r="P82" s="90"/>
    </row>
    <row r="84" spans="1:16" x14ac:dyDescent="0.25">
      <c r="A84" s="8" t="s">
        <v>50</v>
      </c>
    </row>
    <row r="85" spans="1:16" ht="45" x14ac:dyDescent="0.25">
      <c r="A85" s="141" t="s">
        <v>51</v>
      </c>
      <c r="B85" t="s">
        <v>9</v>
      </c>
      <c r="D85" s="59">
        <f>'ESOP Schedule'!C5</f>
        <v>0</v>
      </c>
      <c r="E85" s="59">
        <f>'ESOP Schedule'!D5</f>
        <v>515</v>
      </c>
      <c r="F85" s="59">
        <f>'ESOP Schedule'!E5</f>
        <v>798</v>
      </c>
      <c r="G85" s="59">
        <f>'ESOP Schedule'!F5</f>
        <v>819</v>
      </c>
      <c r="H85" s="294">
        <v>850</v>
      </c>
      <c r="I85" s="294">
        <v>880</v>
      </c>
      <c r="J85" s="294">
        <v>900</v>
      </c>
      <c r="K85" s="294">
        <v>920</v>
      </c>
      <c r="L85" s="294">
        <v>940</v>
      </c>
      <c r="M85" s="294">
        <v>960</v>
      </c>
      <c r="N85" s="294">
        <v>980</v>
      </c>
      <c r="O85" s="294">
        <v>1000</v>
      </c>
      <c r="P85" s="303" t="str">
        <f>"FY25A "&amp;TEXT(F85,"#,##0")&amp;" / FY26A "&amp;TEXT(G85,"#,##0")&amp;" Cr (Q4FY26 cash flow statement, Data_Sources row 8). Forecast +20–30 Cr a year to "&amp;TEXT(O85,"#,##0")&amp;" is a smooth analyst ladder with no basis — MANUAL – OPEN."</f>
        <v>FY25A 798 / FY26A 819 Cr (Q4FY26 cash flow statement, Data_Sources row 8). Forecast +20–30 Cr a year to 1,000 is a smooth analyst ladder with no basis — MANUAL – OPEN.</v>
      </c>
    </row>
    <row r="86" spans="1:16" ht="60" x14ac:dyDescent="0.25">
      <c r="A86" s="141" t="s">
        <v>1386</v>
      </c>
      <c r="B86" t="s">
        <v>9</v>
      </c>
      <c r="D86" s="18"/>
      <c r="E86" s="59">
        <f>IS!E56</f>
        <v>185</v>
      </c>
      <c r="F86" s="59">
        <f>IS!F56</f>
        <v>356</v>
      </c>
      <c r="G86" s="59">
        <f>IS!G56</f>
        <v>838</v>
      </c>
      <c r="H86" s="292">
        <f>ROUND((G16+H16)/2*$B$122*12*(1+$B$123)^1,0)</f>
        <v>1387</v>
      </c>
      <c r="I86" s="292">
        <f>ROUND((H16+I16)/2*$B$122*12*(1+$B$123)^2,0)</f>
        <v>2056</v>
      </c>
      <c r="J86" s="292">
        <f>ROUND((I16+J16)/2*$B$122*12*(1+$B$123)^3,0)</f>
        <v>2843</v>
      </c>
      <c r="K86" s="292">
        <f>ROUND((J16+K16)/2*$B$122*12*(1+$B$123)^4,0)</f>
        <v>3761</v>
      </c>
      <c r="L86" s="292">
        <f>ROUND((K16+L16)/2*$B$122*12*(1+$B$123)^5,0)</f>
        <v>4809</v>
      </c>
      <c r="M86" s="292">
        <f>ROUND((L16+M16)/2*$B$122*12*(1+$B$123)^6,0)</f>
        <v>5984</v>
      </c>
      <c r="N86" s="292">
        <f>ROUND((M16+N16)/2*$B$122*12*(1+$B$123)^7,0)</f>
        <v>7298</v>
      </c>
      <c r="O86" s="292">
        <f>ROUND((N16+O16)/2*$B$122*12*(1+$B$123)^8,0)</f>
        <v>8764</v>
      </c>
      <c r="P86" s="128" t="s">
        <v>1393</v>
      </c>
    </row>
    <row r="87" spans="1:16" ht="30" x14ac:dyDescent="0.25">
      <c r="A87" s="141" t="s">
        <v>1387</v>
      </c>
      <c r="B87" t="s">
        <v>13</v>
      </c>
      <c r="D87" s="16"/>
      <c r="E87" s="16"/>
      <c r="F87" s="66">
        <f>IFERROR(F86/E86-1,"")</f>
        <v>0.92432432432432443</v>
      </c>
      <c r="G87" s="66">
        <f>IFERROR(G86/F86-1,"")</f>
        <v>1.3539325842696628</v>
      </c>
      <c r="H87" s="60">
        <f t="shared" ref="H87:O87" si="19">H86/G86-1</f>
        <v>0.65513126491646778</v>
      </c>
      <c r="I87" s="60">
        <f t="shared" si="19"/>
        <v>0.48233597692862284</v>
      </c>
      <c r="J87" s="60">
        <f t="shared" si="19"/>
        <v>0.38278210116731515</v>
      </c>
      <c r="K87" s="60">
        <f t="shared" si="19"/>
        <v>0.32289834681674279</v>
      </c>
      <c r="L87" s="60">
        <f t="shared" si="19"/>
        <v>0.27864929540015959</v>
      </c>
      <c r="M87" s="60">
        <f t="shared" si="19"/>
        <v>0.24433354127677265</v>
      </c>
      <c r="N87" s="60">
        <f t="shared" si="19"/>
        <v>0.21958556149732611</v>
      </c>
      <c r="O87" s="60">
        <f t="shared" si="19"/>
        <v>0.20087695258975069</v>
      </c>
      <c r="P87" s="128" t="s">
        <v>52</v>
      </c>
    </row>
    <row r="88" spans="1:16" x14ac:dyDescent="0.25">
      <c r="A88" s="141" t="s">
        <v>1503</v>
      </c>
      <c r="B88" s="271"/>
      <c r="C88" s="271"/>
      <c r="D88" s="272"/>
      <c r="E88" s="272"/>
      <c r="F88" s="272"/>
      <c r="G88" s="272"/>
      <c r="H88" s="279"/>
      <c r="I88" s="279"/>
      <c r="J88" s="279"/>
      <c r="K88" s="279"/>
      <c r="L88" s="279"/>
      <c r="M88" s="279"/>
      <c r="N88" s="279"/>
      <c r="O88" s="279"/>
      <c r="P88" s="128"/>
    </row>
    <row r="89" spans="1:16" x14ac:dyDescent="0.25">
      <c r="A89" s="141" t="s">
        <v>1504</v>
      </c>
      <c r="B89" s="271"/>
      <c r="C89" s="271"/>
      <c r="D89" s="272"/>
      <c r="E89" s="272"/>
      <c r="F89" s="272"/>
      <c r="G89" s="272"/>
      <c r="H89" s="279"/>
      <c r="I89" s="279"/>
      <c r="J89" s="279"/>
      <c r="K89" s="279"/>
      <c r="L89" s="279"/>
      <c r="M89" s="279"/>
      <c r="N89" s="279"/>
      <c r="O89" s="279"/>
      <c r="P89" s="128"/>
    </row>
    <row r="90" spans="1:16" ht="45" x14ac:dyDescent="0.25">
      <c r="A90" s="141" t="s">
        <v>53</v>
      </c>
      <c r="B90" t="s">
        <v>13</v>
      </c>
      <c r="D90" s="16"/>
      <c r="E90" s="67">
        <f>IFERROR(IS!E23/CFS!D32,"")</f>
        <v>7.4803497306367567E-2</v>
      </c>
      <c r="F90" s="67">
        <f>IFERROR(IS!F23/CFS!E32,"")</f>
        <v>8.7983007924189199E-2</v>
      </c>
      <c r="G90" s="67">
        <f>IFERROR(IS!G23/CFS!F32,"")</f>
        <v>8.3065571819588249E-2</v>
      </c>
      <c r="H90" s="17">
        <v>6.5000000000000002E-2</v>
      </c>
      <c r="I90" s="17">
        <v>6.5000000000000002E-2</v>
      </c>
      <c r="J90" s="17">
        <v>6.5000000000000002E-2</v>
      </c>
      <c r="K90" s="17">
        <v>6.5000000000000002E-2</v>
      </c>
      <c r="L90" s="17">
        <v>6.5000000000000002E-2</v>
      </c>
      <c r="M90" s="17">
        <v>6.5000000000000002E-2</v>
      </c>
      <c r="N90" s="17">
        <v>6.5000000000000002E-2</v>
      </c>
      <c r="O90" s="17">
        <v>6.5000000000000002E-2</v>
      </c>
      <c r="P90" s="128" t="s">
        <v>983</v>
      </c>
    </row>
    <row r="91" spans="1:16" ht="45" x14ac:dyDescent="0.25">
      <c r="A91" s="141" t="s">
        <v>1531</v>
      </c>
      <c r="B91" t="s">
        <v>13</v>
      </c>
      <c r="D91" s="77">
        <f>-IS!D27/IS!D26</f>
        <v>4.3392504930966469E-2</v>
      </c>
      <c r="E91" s="77">
        <f>-IS!E27/IS!E26</f>
        <v>-0.20618556701030927</v>
      </c>
      <c r="F91" s="77">
        <f>-IS!F27/IS!F26</f>
        <v>0.24390243902439024</v>
      </c>
      <c r="G91" s="77">
        <f>-IS!G27/IS!G26</f>
        <v>0.40487804878048783</v>
      </c>
      <c r="H91" s="77">
        <f>Tax_Schedule!H12</f>
        <v>0</v>
      </c>
      <c r="I91" s="77">
        <f>Tax_Schedule!I12</f>
        <v>0</v>
      </c>
      <c r="J91" s="77">
        <f>Tax_Schedule!J12</f>
        <v>0</v>
      </c>
      <c r="K91" s="77">
        <f>Tax_Schedule!K12</f>
        <v>0</v>
      </c>
      <c r="L91" s="77">
        <f>Tax_Schedule!L12</f>
        <v>0</v>
      </c>
      <c r="M91" s="77">
        <f>Tax_Schedule!M12</f>
        <v>0</v>
      </c>
      <c r="N91" s="77">
        <f>Tax_Schedule!N12</f>
        <v>0.16374128269893817</v>
      </c>
      <c r="O91" s="77">
        <f>Tax_Schedule!O12</f>
        <v>0.25169999999999998</v>
      </c>
      <c r="P91" s="128" t="s">
        <v>1532</v>
      </c>
    </row>
    <row r="92" spans="1:16" x14ac:dyDescent="0.25">
      <c r="A92" t="s">
        <v>1466</v>
      </c>
      <c r="B92" s="194">
        <v>0.01</v>
      </c>
      <c r="D92" s="16"/>
      <c r="E92" s="16"/>
      <c r="F92" s="16"/>
      <c r="G92" s="16"/>
      <c r="H92" s="17"/>
      <c r="I92" s="17"/>
      <c r="J92" s="17"/>
      <c r="K92" s="17"/>
      <c r="L92" s="17"/>
      <c r="M92" s="17"/>
      <c r="N92" s="17"/>
      <c r="O92" s="17"/>
      <c r="P92" s="26" t="s">
        <v>1468</v>
      </c>
    </row>
    <row r="93" spans="1:16" ht="24" x14ac:dyDescent="0.25">
      <c r="A93" t="s">
        <v>1467</v>
      </c>
      <c r="B93" s="194">
        <v>5.5E-2</v>
      </c>
      <c r="D93" s="77"/>
      <c r="E93" s="77"/>
      <c r="F93" s="60"/>
      <c r="G93" s="60"/>
      <c r="H93" s="17"/>
      <c r="I93" s="17"/>
      <c r="J93" s="17"/>
      <c r="K93" s="17"/>
      <c r="L93" s="17"/>
      <c r="M93" s="17"/>
      <c r="N93" s="17"/>
      <c r="O93" s="17"/>
      <c r="P93" s="26" t="s">
        <v>1469</v>
      </c>
    </row>
    <row r="94" spans="1:16" x14ac:dyDescent="0.25">
      <c r="A94" s="91" t="s">
        <v>760</v>
      </c>
      <c r="B94" s="80"/>
      <c r="C94" s="80"/>
      <c r="D94" s="60"/>
      <c r="E94" s="60"/>
      <c r="F94" s="60"/>
      <c r="G94" s="60"/>
      <c r="H94" s="60"/>
      <c r="I94" s="60"/>
      <c r="J94" s="60"/>
      <c r="K94" s="60"/>
      <c r="L94" s="60"/>
      <c r="M94" s="60"/>
      <c r="N94" s="60"/>
      <c r="O94" s="60"/>
      <c r="P94" s="90"/>
    </row>
    <row r="95" spans="1:16" x14ac:dyDescent="0.25">
      <c r="A95" s="80" t="s">
        <v>958</v>
      </c>
      <c r="B95" s="80" t="s">
        <v>9</v>
      </c>
      <c r="C95" s="80"/>
      <c r="D95" s="60"/>
      <c r="E95" s="60"/>
      <c r="F95" s="60"/>
      <c r="G95" s="60"/>
      <c r="H95" s="93">
        <v>0</v>
      </c>
      <c r="I95" s="93">
        <v>0</v>
      </c>
      <c r="J95" s="93">
        <v>0</v>
      </c>
      <c r="K95" s="93">
        <v>0</v>
      </c>
      <c r="L95" s="93">
        <v>0</v>
      </c>
      <c r="M95" s="93">
        <v>0</v>
      </c>
      <c r="N95" s="93">
        <v>0</v>
      </c>
      <c r="O95" s="93">
        <v>0</v>
      </c>
      <c r="P95" s="90"/>
    </row>
    <row r="96" spans="1:16" x14ac:dyDescent="0.25">
      <c r="A96" s="80" t="s">
        <v>761</v>
      </c>
      <c r="B96" s="80" t="s">
        <v>9</v>
      </c>
      <c r="C96" s="80"/>
      <c r="D96" s="60"/>
      <c r="E96" s="60"/>
      <c r="F96" s="60"/>
      <c r="G96" s="60"/>
      <c r="H96" s="93">
        <v>0</v>
      </c>
      <c r="I96" s="93">
        <v>0</v>
      </c>
      <c r="J96" s="93">
        <v>0</v>
      </c>
      <c r="K96" s="93">
        <v>0</v>
      </c>
      <c r="L96" s="93">
        <v>0</v>
      </c>
      <c r="M96" s="93">
        <v>0</v>
      </c>
      <c r="N96" s="93">
        <v>0</v>
      </c>
      <c r="O96" s="93">
        <v>0</v>
      </c>
      <c r="P96" s="90"/>
    </row>
    <row r="97" spans="1:16" x14ac:dyDescent="0.25">
      <c r="A97" s="80" t="s">
        <v>762</v>
      </c>
      <c r="B97" s="80" t="s">
        <v>9</v>
      </c>
      <c r="C97" s="80"/>
      <c r="D97" s="60"/>
      <c r="E97" s="60"/>
      <c r="F97" s="60"/>
      <c r="G97" s="60"/>
      <c r="H97" s="93">
        <v>0</v>
      </c>
      <c r="I97" s="93">
        <v>0</v>
      </c>
      <c r="J97" s="93">
        <v>0</v>
      </c>
      <c r="K97" s="93">
        <v>0</v>
      </c>
      <c r="L97" s="93">
        <v>0</v>
      </c>
      <c r="M97" s="93">
        <v>0</v>
      </c>
      <c r="N97" s="93">
        <v>0</v>
      </c>
      <c r="O97" s="93">
        <v>0</v>
      </c>
      <c r="P97" s="90"/>
    </row>
    <row r="99" spans="1:16" ht="15.75" x14ac:dyDescent="0.25">
      <c r="A99" s="62" t="s">
        <v>700</v>
      </c>
      <c r="B99" s="62"/>
      <c r="C99" s="62"/>
      <c r="D99" s="62"/>
      <c r="E99" s="62"/>
      <c r="F99" s="62"/>
      <c r="G99" s="62"/>
      <c r="H99" s="62"/>
      <c r="I99" s="62"/>
      <c r="J99" s="62"/>
      <c r="K99" s="62"/>
      <c r="L99" s="62"/>
      <c r="M99" s="62"/>
      <c r="N99" s="62"/>
      <c r="O99" s="62"/>
      <c r="P99" s="63"/>
    </row>
    <row r="101" spans="1:16" x14ac:dyDescent="0.25">
      <c r="A101" s="8" t="s">
        <v>340</v>
      </c>
    </row>
    <row r="102" spans="1:16" ht="75" x14ac:dyDescent="0.25">
      <c r="A102" s="141" t="s">
        <v>985</v>
      </c>
      <c r="B102" t="s">
        <v>341</v>
      </c>
      <c r="D102" s="309">
        <f>BS!D13/'Revenue Schedule'!C31*365</f>
        <v>23.563356406272071</v>
      </c>
      <c r="E102" s="309">
        <f>BS!E13/'Revenue Schedule'!D31*365</f>
        <v>23.923559517913159</v>
      </c>
      <c r="F102" s="309">
        <f>BS!F13/'Revenue Schedule'!E31*365</f>
        <v>35.088178629649761</v>
      </c>
      <c r="G102" s="309">
        <f>BS!G13/'Revenue Schedule'!F31*365</f>
        <v>11.843499374586123</v>
      </c>
      <c r="H102" s="9">
        <v>12</v>
      </c>
      <c r="I102" s="9">
        <v>12</v>
      </c>
      <c r="J102" s="9">
        <v>12</v>
      </c>
      <c r="K102" s="9">
        <v>12</v>
      </c>
      <c r="L102" s="9">
        <v>12</v>
      </c>
      <c r="M102" s="9">
        <v>12</v>
      </c>
      <c r="N102" s="9">
        <v>12</v>
      </c>
      <c r="O102" s="9">
        <v>12</v>
      </c>
      <c r="P102" s="128" t="s">
        <v>988</v>
      </c>
    </row>
    <row r="103" spans="1:16" ht="45" x14ac:dyDescent="0.25">
      <c r="A103" s="141" t="s">
        <v>342</v>
      </c>
      <c r="B103" t="s">
        <v>341</v>
      </c>
      <c r="D103" s="287">
        <f>WC_Schedule!D8</f>
        <v>21.716845878136201</v>
      </c>
      <c r="E103" s="287">
        <f>WC_Schedule!E8</f>
        <v>11.145038167938932</v>
      </c>
      <c r="F103" s="287">
        <f>WC_Schedule!F8</f>
        <v>11.543575920934412</v>
      </c>
      <c r="G103" s="287">
        <f>WC_Schedule!G8</f>
        <v>26.388603440845959</v>
      </c>
      <c r="H103" s="9">
        <v>26</v>
      </c>
      <c r="I103" s="9">
        <v>26</v>
      </c>
      <c r="J103" s="9">
        <v>25</v>
      </c>
      <c r="K103" s="9">
        <v>25</v>
      </c>
      <c r="L103" s="9">
        <v>24</v>
      </c>
      <c r="M103" s="9">
        <v>24</v>
      </c>
      <c r="N103" s="9">
        <v>24</v>
      </c>
      <c r="O103" s="9">
        <v>24</v>
      </c>
      <c r="P103" s="128" t="s">
        <v>990</v>
      </c>
    </row>
    <row r="104" spans="1:16" ht="30" x14ac:dyDescent="0.25">
      <c r="A104" s="141" t="s">
        <v>343</v>
      </c>
      <c r="B104" t="s">
        <v>341</v>
      </c>
      <c r="D104" s="287">
        <f>WC_Schedule!D9</f>
        <v>177.65949820788529</v>
      </c>
      <c r="E104" s="287">
        <f>WC_Schedule!E9</f>
        <v>112.21027064538515</v>
      </c>
      <c r="F104" s="287">
        <f>WC_Schedule!F9</f>
        <v>100.74393530997305</v>
      </c>
      <c r="G104" s="287">
        <f>WC_Schedule!G9</f>
        <v>36.418934597407763</v>
      </c>
      <c r="H104" s="9">
        <v>36</v>
      </c>
      <c r="I104" s="9">
        <v>37</v>
      </c>
      <c r="J104" s="9">
        <v>38</v>
      </c>
      <c r="K104" s="9">
        <v>38</v>
      </c>
      <c r="L104" s="9">
        <v>38</v>
      </c>
      <c r="M104" s="9">
        <v>38</v>
      </c>
      <c r="N104" s="9">
        <v>38</v>
      </c>
      <c r="O104" s="9">
        <v>38</v>
      </c>
      <c r="P104" s="128" t="s">
        <v>991</v>
      </c>
    </row>
    <row r="105" spans="1:16" ht="45" x14ac:dyDescent="0.25">
      <c r="A105" s="141" t="s">
        <v>986</v>
      </c>
      <c r="B105" t="s">
        <v>13</v>
      </c>
      <c r="D105" s="67">
        <f>(WC_Schedule!D15-WC_Schedule!D12-WC_Schedule!D13)/WC_Schedule!D5</f>
        <v>0.67650798135329848</v>
      </c>
      <c r="E105" s="67">
        <f>(WC_Schedule!E15-WC_Schedule!E12-WC_Schedule!E13)/WC_Schedule!E5</f>
        <v>0.21173848439821694</v>
      </c>
      <c r="F105" s="67">
        <f>(WC_Schedule!F15-WC_Schedule!F12-WC_Schedule!F13)/WC_Schedule!F5</f>
        <v>0.28222101467173838</v>
      </c>
      <c r="G105" s="67">
        <f>(WC_Schedule!G15-WC_Schedule!G12-WC_Schedule!G13)/WC_Schedule!G5</f>
        <v>9.4566257081892424E-2</v>
      </c>
      <c r="H105" s="310">
        <v>8.5000000000000006E-2</v>
      </c>
      <c r="I105" s="310">
        <v>8.5000000000000006E-2</v>
      </c>
      <c r="J105" s="310">
        <v>0.08</v>
      </c>
      <c r="K105" s="310">
        <v>0.08</v>
      </c>
      <c r="L105" s="310">
        <v>0.08</v>
      </c>
      <c r="M105" s="310">
        <v>0.08</v>
      </c>
      <c r="N105" s="310">
        <v>0.08</v>
      </c>
      <c r="O105" s="310">
        <v>0.08</v>
      </c>
      <c r="P105" s="128" t="s">
        <v>989</v>
      </c>
    </row>
    <row r="106" spans="1:16" ht="30" x14ac:dyDescent="0.25">
      <c r="A106" s="141" t="s">
        <v>987</v>
      </c>
      <c r="B106" t="s">
        <v>13</v>
      </c>
      <c r="D106" s="67">
        <f>WC_Schedule!D19/WC_Schedule!D5</f>
        <v>8.6452888826105384E-2</v>
      </c>
      <c r="E106" s="67">
        <f>WC_Schedule!E19/WC_Schedule!E5</f>
        <v>8.5520884926531288E-2</v>
      </c>
      <c r="F106" s="67">
        <f>WC_Schedule!F19/WC_Schedule!F5</f>
        <v>6.9110309736699099E-2</v>
      </c>
      <c r="G106" s="67">
        <f>WC_Schedule!G19/WC_Schedule!G5</f>
        <v>3.4728864689868293E-2</v>
      </c>
      <c r="H106" s="310">
        <v>3.4000000000000002E-2</v>
      </c>
      <c r="I106" s="310">
        <v>3.4000000000000002E-2</v>
      </c>
      <c r="J106" s="310">
        <v>3.4000000000000002E-2</v>
      </c>
      <c r="K106" s="310">
        <v>3.4000000000000002E-2</v>
      </c>
      <c r="L106" s="310">
        <v>3.4000000000000002E-2</v>
      </c>
      <c r="M106" s="310">
        <v>3.4000000000000002E-2</v>
      </c>
      <c r="N106" s="310">
        <v>3.4000000000000002E-2</v>
      </c>
      <c r="O106" s="310">
        <v>3.4000000000000002E-2</v>
      </c>
      <c r="P106" s="128" t="s">
        <v>992</v>
      </c>
    </row>
    <row r="107" spans="1:16" x14ac:dyDescent="0.25">
      <c r="D107" s="67"/>
      <c r="E107" s="67"/>
      <c r="F107" s="67"/>
      <c r="G107" s="67"/>
      <c r="H107" s="9"/>
      <c r="I107" s="9"/>
      <c r="J107" s="9"/>
      <c r="K107" s="9"/>
      <c r="L107" s="9"/>
      <c r="M107" s="9"/>
      <c r="N107" s="9"/>
      <c r="O107" s="9"/>
      <c r="P107" s="26"/>
    </row>
    <row r="108" spans="1:16" x14ac:dyDescent="0.25">
      <c r="D108" s="67"/>
      <c r="E108" s="67"/>
      <c r="F108" s="67"/>
      <c r="G108" s="67"/>
      <c r="H108" s="9"/>
      <c r="I108" s="9"/>
      <c r="J108" s="9"/>
      <c r="K108" s="9"/>
      <c r="L108" s="9"/>
      <c r="M108" s="9"/>
      <c r="N108" s="9"/>
      <c r="O108" s="9"/>
      <c r="P108" s="26"/>
    </row>
    <row r="109" spans="1:16" x14ac:dyDescent="0.25">
      <c r="A109" s="141"/>
    </row>
    <row r="110" spans="1:16" x14ac:dyDescent="0.25">
      <c r="A110" s="8" t="s">
        <v>54</v>
      </c>
    </row>
    <row r="111" spans="1:16" ht="42.6" customHeight="1" x14ac:dyDescent="0.25">
      <c r="A111" s="141" t="s">
        <v>55</v>
      </c>
      <c r="B111" t="s">
        <v>9</v>
      </c>
      <c r="D111" s="18"/>
      <c r="E111" s="311" t="str">
        <f>FA_Schedule!D44</f>
        <v/>
      </c>
      <c r="F111" s="311">
        <f>FA_Schedule!E44</f>
        <v>0.71560338201383555</v>
      </c>
      <c r="G111" s="311">
        <f>FA_Schedule!F44</f>
        <v>1.8535031847133758</v>
      </c>
      <c r="H111" s="32">
        <v>2.5</v>
      </c>
      <c r="I111" s="32">
        <v>2.5</v>
      </c>
      <c r="J111" s="32">
        <v>2.5</v>
      </c>
      <c r="K111" s="32">
        <v>2.5</v>
      </c>
      <c r="L111" s="32">
        <v>2.5</v>
      </c>
      <c r="M111" s="32">
        <v>2.5</v>
      </c>
      <c r="N111" s="32">
        <v>2.5</v>
      </c>
      <c r="O111" s="32">
        <v>2.5</v>
      </c>
      <c r="P111" s="128" t="s">
        <v>951</v>
      </c>
    </row>
    <row r="112" spans="1:16" ht="30" x14ac:dyDescent="0.25">
      <c r="A112" s="141" t="s">
        <v>56</v>
      </c>
      <c r="B112" t="s">
        <v>9</v>
      </c>
      <c r="D112" s="18"/>
      <c r="E112" s="18"/>
      <c r="F112" s="18"/>
      <c r="G112" s="18"/>
      <c r="H112" s="294">
        <v>450</v>
      </c>
      <c r="I112" s="294">
        <v>500</v>
      </c>
      <c r="J112" s="294">
        <v>550</v>
      </c>
      <c r="K112" s="294">
        <v>600</v>
      </c>
      <c r="L112" s="294">
        <v>650</v>
      </c>
      <c r="M112" s="294">
        <v>700</v>
      </c>
      <c r="N112" s="294">
        <v>750</v>
      </c>
      <c r="O112" s="294">
        <v>800</v>
      </c>
      <c r="P112" s="128" t="s">
        <v>1544</v>
      </c>
    </row>
    <row r="113" spans="1:16" x14ac:dyDescent="0.25">
      <c r="A113" s="141" t="s">
        <v>1505</v>
      </c>
      <c r="B113" s="271"/>
      <c r="C113" s="271"/>
      <c r="D113" s="272"/>
      <c r="E113" s="280"/>
      <c r="F113" s="280"/>
      <c r="G113" s="280"/>
      <c r="H113" s="279"/>
      <c r="I113" s="279"/>
      <c r="J113" s="279"/>
      <c r="K113" s="279"/>
      <c r="L113" s="279"/>
      <c r="M113" s="279"/>
      <c r="N113" s="279"/>
      <c r="O113" s="279"/>
      <c r="P113" s="26"/>
    </row>
    <row r="114" spans="1:16" x14ac:dyDescent="0.25">
      <c r="D114" s="16"/>
      <c r="E114" s="67"/>
      <c r="F114" s="67"/>
      <c r="G114" s="67"/>
      <c r="H114" s="106"/>
      <c r="I114" s="106"/>
      <c r="J114" s="106"/>
      <c r="K114" s="106"/>
      <c r="L114" s="106"/>
      <c r="M114" s="106"/>
      <c r="N114" s="106"/>
      <c r="O114" s="106"/>
      <c r="P114" s="26"/>
    </row>
    <row r="116" spans="1:16" ht="15.75" x14ac:dyDescent="0.25">
      <c r="A116" s="62" t="s">
        <v>701</v>
      </c>
      <c r="B116" s="62"/>
      <c r="C116" s="62"/>
      <c r="D116" s="62"/>
      <c r="E116" s="62"/>
      <c r="F116" s="62"/>
      <c r="G116" s="62"/>
      <c r="H116" s="62"/>
      <c r="I116" s="62"/>
      <c r="J116" s="62"/>
      <c r="K116" s="62"/>
      <c r="L116" s="62"/>
      <c r="M116" s="62"/>
      <c r="N116" s="62"/>
      <c r="O116" s="62"/>
      <c r="P116" s="63"/>
    </row>
    <row r="118" spans="1:16" x14ac:dyDescent="0.25">
      <c r="A118" s="8" t="s">
        <v>334</v>
      </c>
    </row>
    <row r="119" spans="1:16" ht="45" x14ac:dyDescent="0.25">
      <c r="A119" s="141" t="s">
        <v>335</v>
      </c>
      <c r="B119" s="312">
        <v>0.3</v>
      </c>
      <c r="C119" s="35"/>
      <c r="P119" s="313" t="str">
        <f>"FY25A implied PPE depreciation "&amp;TEXT(FA_Schedule!E10,"0%")&amp;", FY26A "&amp;TEXT(FA_Schedule!F10,"0%")&amp;" (FA_Schedule row 10). Forecast uses "&amp;TEXT(B119,"0%")&amp;" — analyst judgement below the historical range as the asset base lengthens; MANUAL – OPEN."</f>
        <v>FY25A implied PPE depreciation 33%, FY26A 37% (FA_Schedule row 10). Forecast uses 30% — analyst judgement below the historical range as the asset base lengthens; MANUAL – OPEN.</v>
      </c>
    </row>
    <row r="120" spans="1:16" ht="30" x14ac:dyDescent="0.25">
      <c r="A120" s="141" t="s">
        <v>336</v>
      </c>
      <c r="B120" s="312">
        <v>0.22</v>
      </c>
      <c r="C120" s="35"/>
      <c r="P120" s="128" t="s">
        <v>959</v>
      </c>
    </row>
    <row r="121" spans="1:16" ht="45" x14ac:dyDescent="0.25">
      <c r="A121" s="141" t="s">
        <v>1381</v>
      </c>
      <c r="B121" s="314">
        <f>AVERAGE(Lease_Schedule!F21/((Lease_Schedule!F5+Lease_Schedule!F12)/2),Lease_Schedule!G21/((Lease_Schedule!G5+Lease_Schedule!G12)/2))</f>
        <v>0.10790880908949621</v>
      </c>
      <c r="C121" s="35"/>
      <c r="P121" s="128" t="s">
        <v>1388</v>
      </c>
    </row>
    <row r="122" spans="1:16" ht="45" x14ac:dyDescent="0.25">
      <c r="A122" s="141" t="s">
        <v>1382</v>
      </c>
      <c r="B122" s="315">
        <f>Lease_Schedule!G23/((F16+G16)/2)/12</f>
        <v>3.9409330323551546E-2</v>
      </c>
      <c r="C122" s="35"/>
      <c r="P122" s="128" t="s">
        <v>1389</v>
      </c>
    </row>
    <row r="123" spans="1:16" ht="45" x14ac:dyDescent="0.25">
      <c r="A123" s="141" t="s">
        <v>1383</v>
      </c>
      <c r="B123" s="281">
        <v>0.05</v>
      </c>
      <c r="C123" s="35"/>
      <c r="P123" s="128" t="s">
        <v>1390</v>
      </c>
    </row>
    <row r="124" spans="1:16" ht="45" x14ac:dyDescent="0.25">
      <c r="A124" s="141" t="s">
        <v>1384</v>
      </c>
      <c r="B124" s="316">
        <f>NPER(B121/12,-B122,FA_Schedule!F20/G18)</f>
        <v>152.47276037600227</v>
      </c>
      <c r="C124" s="35"/>
      <c r="P124" s="128" t="s">
        <v>1391</v>
      </c>
    </row>
    <row r="125" spans="1:16" ht="45" x14ac:dyDescent="0.25">
      <c r="A125" s="141" t="s">
        <v>1385</v>
      </c>
      <c r="B125" s="317">
        <f>PV(B121/12,B124,-B122)</f>
        <v>3.2632696390658174</v>
      </c>
      <c r="C125" s="35"/>
      <c r="P125" s="128" t="s">
        <v>1392</v>
      </c>
    </row>
    <row r="126" spans="1:16" ht="50.1" customHeight="1" x14ac:dyDescent="0.25">
      <c r="A126" s="141" t="s">
        <v>337</v>
      </c>
      <c r="B126" s="312">
        <v>0.1</v>
      </c>
      <c r="C126" s="35"/>
      <c r="P126" s="303" t="str">
        <f>"Renewals at "&amp;TEXT(B126,"0%")&amp;" of opening lease liability (Lease_Schedule row 8). The SAME amount is added to the ROU asset (FA_Schedule row 21 = Lease_Schedule row 8), so a renewal raises asset and liability equally. Analyst judgement – MANUAL – OPEN."</f>
        <v>Renewals at 10% of opening lease liability (Lease_Schedule row 8). The SAME amount is added to the ROU asset (FA_Schedule row 21 = Lease_Schedule row 8), so a renewal raises asset and liability equally. Analyst judgement – MANUAL – OPEN.</v>
      </c>
    </row>
    <row r="127" spans="1:16" ht="31.5" customHeight="1" x14ac:dyDescent="0.25">
      <c r="A127" s="141" t="s">
        <v>338</v>
      </c>
      <c r="B127" s="312">
        <v>0.02</v>
      </c>
      <c r="C127" s="35"/>
      <c r="P127" s="303" t="str">
        <f>"Terminations at "&amp;TEXT(B127,"0%")&amp;" of opening lease LIABILITY (Lease_Schedule row 10); FA_Schedule row 23 derecognises the same amount of ROU asset, so no P&amp;L gain/loss is created. FY26A gain on termination was INR 13 Cr (small volume). Analyst judgement – MANUAL – OPEN."</f>
        <v>Terminations at 2% of opening lease LIABILITY (Lease_Schedule row 10); FA_Schedule row 23 derecognises the same amount of ROU asset, so no P&amp;L gain/loss is created. FY26A gain on termination was INR 13 Cr (small volume). Analyst judgement – MANUAL – OPEN.</v>
      </c>
    </row>
    <row r="128" spans="1:16" ht="30" x14ac:dyDescent="0.25">
      <c r="A128" s="141" t="s">
        <v>339</v>
      </c>
      <c r="B128" s="186"/>
      <c r="H128" s="318">
        <f>5%*FA_Schedule!G29</f>
        <v>317.40000000000003</v>
      </c>
      <c r="I128" s="318">
        <f>5%*FA_Schedule!H29</f>
        <v>301.53000000000003</v>
      </c>
      <c r="J128" s="318">
        <f>5%*FA_Schedule!I29</f>
        <v>286.45350000000002</v>
      </c>
      <c r="K128" s="318">
        <f>5%*FA_Schedule!J29</f>
        <v>272.13082500000007</v>
      </c>
      <c r="L128" s="318">
        <f>5%*FA_Schedule!K29</f>
        <v>258.52428375000005</v>
      </c>
      <c r="M128" s="318">
        <f>5%*FA_Schedule!L29</f>
        <v>245.59806956250006</v>
      </c>
      <c r="N128" s="318">
        <f>5%*FA_Schedule!M29</f>
        <v>233.31816608437504</v>
      </c>
      <c r="O128" s="318">
        <f>5%*FA_Schedule!N29</f>
        <v>221.6522577801563</v>
      </c>
      <c r="P128" s="128" t="s">
        <v>968</v>
      </c>
    </row>
    <row r="130" spans="1:16" ht="15.75" x14ac:dyDescent="0.25">
      <c r="A130" s="62" t="s">
        <v>702</v>
      </c>
      <c r="B130" s="62"/>
      <c r="C130" s="62"/>
      <c r="D130" s="62"/>
      <c r="E130" s="62"/>
      <c r="F130" s="62"/>
      <c r="G130" s="62"/>
      <c r="H130" s="62"/>
      <c r="I130" s="62"/>
      <c r="J130" s="62"/>
      <c r="K130" s="62"/>
      <c r="L130" s="62"/>
      <c r="M130" s="62"/>
      <c r="N130" s="62"/>
      <c r="O130" s="62"/>
      <c r="P130" s="63"/>
    </row>
    <row r="131" spans="1:16" ht="15.75" x14ac:dyDescent="0.25">
      <c r="A131" s="62"/>
      <c r="B131" s="62"/>
      <c r="C131" s="62"/>
      <c r="D131" s="62"/>
      <c r="E131" s="62"/>
      <c r="F131" s="62"/>
      <c r="G131" s="62"/>
      <c r="H131" s="62"/>
      <c r="I131" s="62"/>
      <c r="J131" s="62"/>
      <c r="K131" s="62"/>
      <c r="L131" s="62"/>
      <c r="M131" s="62"/>
      <c r="N131" s="62"/>
      <c r="O131" s="62"/>
      <c r="P131" s="63"/>
    </row>
    <row r="133" spans="1:16" x14ac:dyDescent="0.25">
      <c r="A133" s="8" t="s">
        <v>57</v>
      </c>
    </row>
    <row r="134" spans="1:16" ht="30" x14ac:dyDescent="0.25">
      <c r="A134" s="141" t="s">
        <v>58</v>
      </c>
      <c r="B134" s="319">
        <v>6.8000000000000005E-2</v>
      </c>
      <c r="C134" s="31"/>
      <c r="P134" s="128" t="s">
        <v>59</v>
      </c>
    </row>
    <row r="135" spans="1:16" ht="60" x14ac:dyDescent="0.25">
      <c r="A135" s="141" t="s">
        <v>60</v>
      </c>
      <c r="B135" s="319">
        <v>7.0000000000000007E-2</v>
      </c>
      <c r="C135" s="31"/>
      <c r="P135" s="303" t="str">
        <f>"ERP (price-setting). SOURCE: 'Damodaran' cited without dataset, date or link — MANUAL – OPEN (supply the dated country-risk table). VALUE "&amp;TEXT(B135,"0.0%")&amp;" = mature-market ERP plus India country premium. BRIDGE to Ke "&amp;TEXT(B137,"0.0%")&amp;" at beta "&amp;TEXT(B136,"0.00")&amp;". WRONG IF: the dated source gives a different total; each 1pp moves Ke by "&amp;TEXT(B136*0.01,"0.0%")&amp;"."</f>
        <v>ERP (price-setting). SOURCE: 'Damodaran' cited without dataset, date or link — MANUAL – OPEN (supply the dated country-risk table). VALUE 7.0% = mature-market ERP plus India country premium. BRIDGE to Ke 14.8% at beta 1.15. WRONG IF: the dated source gives a different total; each 1pp moves Ke by 1.1%.</v>
      </c>
    </row>
    <row r="136" spans="1:16" ht="48" x14ac:dyDescent="0.25">
      <c r="A136" s="141" t="s">
        <v>61</v>
      </c>
      <c r="B136" s="318">
        <f>'Beta Calc'!B24</f>
        <v>1.1474</v>
      </c>
      <c r="C136" s="47"/>
      <c r="P136" s="90" t="str">
        <f>"BETA (price-setting). No regression was run and no dated vendor beta is cited; raw "&amp;TEXT(B154,"0.00")&amp;" (B154, MANUAL – OPEN) is Blume-adjusted to "&amp;TEXT(B136,"0.00")&amp;" on Beta Calc. Peer betas on Beta Calc C29:C32 are unsourced. WRONG IF: a live regression or vendor beta differs; each 0.10 of beta moves Ke by "&amp;TEXT(0.1*B135,"0.0%")&amp;"."</f>
        <v>BETA (price-setting). No regression was run and no dated vendor beta is cited; raw 1.22 (B154, MANUAL – OPEN) is Blume-adjusted to 1.15 on Beta Calc. Peer betas on Beta Calc C29:C32 are unsourced. WRONG IF: a live regression or vendor beta differs; each 0.10 of beta moves Ke by 0.7%.</v>
      </c>
    </row>
    <row r="137" spans="1:16" x14ac:dyDescent="0.25">
      <c r="A137" s="141" t="s">
        <v>62</v>
      </c>
      <c r="B137" s="320">
        <f>B134+B136*B135</f>
        <v>0.14831800000000001</v>
      </c>
      <c r="C137" s="15"/>
      <c r="P137" s="26" t="s">
        <v>63</v>
      </c>
    </row>
    <row r="138" spans="1:16" ht="36" x14ac:dyDescent="0.25">
      <c r="A138" s="141" t="s">
        <v>64</v>
      </c>
      <c r="B138" s="321">
        <f>'ERP &amp; Rf'!B14</f>
        <v>8.074816184167001E-2</v>
      </c>
      <c r="C138" s="31"/>
      <c r="P138" s="90" t="str">
        <f>"Lease liabilities only. Pre-tax rate = incremental borrowing rate "&amp;TEXT(B121,"0.0%")&amp;" (row 121, derived from FY25A–FY26A lease interest); post-tax "&amp;TEXT(B138,"0.0%")&amp;" at the statutory "&amp;TEXT(B157,"0.00%")&amp;". No bank borrowings at FY26A."</f>
        <v>Lease liabilities only. Pre-tax rate = incremental borrowing rate 10.8% (row 121, derived from FY25A–FY26A lease interest); post-tax 8.1% at the statutory 25.17%. No bank borrowings at FY26A.</v>
      </c>
    </row>
    <row r="139" spans="1:16" x14ac:dyDescent="0.25">
      <c r="A139" s="141" t="s">
        <v>65</v>
      </c>
      <c r="B139" s="321">
        <f>'ERP &amp; Rf'!B23</f>
        <v>0.14713746689384793</v>
      </c>
      <c r="C139" s="15"/>
      <c r="P139" s="128" t="s">
        <v>66</v>
      </c>
    </row>
    <row r="140" spans="1:16" ht="90" x14ac:dyDescent="0.25">
      <c r="A140" s="141" t="s">
        <v>67</v>
      </c>
      <c r="B140" s="281">
        <v>0.05</v>
      </c>
      <c r="C140" s="33"/>
      <c r="P140" s="313" t="str">
        <f>"TERMINAL GROWTH (price-setting). SOURCE: analyst judgement; long-run nominal GDP "&amp;TEXT(B146,"0.0%")&amp;" (B146) and CPI "&amp;TEXT(B145,"0.0%")&amp;" (B145) are themselves unsourced — MANUAL – OPEN. START: no FY26A analogue. BRIDGE: g "&amp;TEXT(B140,"0.0%")&amp;" is below Rf "&amp;TEXT(B134,"0.0%")&amp;" and nominal GDP, and ~"&amp;TEXT((1+B140)/(1+B145)-1,"0.0%")&amp;" real — modestly POSITIVE in real terms (real decline needs g below inflation, not below Rf). WRONG IF: FY34E revenue growth of "&amp;TEXT('Revenue Schedule'!N28,"0%")&amp;" means the business is far from steady state at the terminal year."</f>
        <v>TERMINAL GROWTH (price-setting). SOURCE: analyst judgement; long-run nominal GDP 10.5% (B146) and CPI 4.5% (B145) are themselves unsourced — MANUAL – OPEN. START: no FY26A analogue. BRIDGE: g 5.0% is below Rf 6.8% and nominal GDP, and ~0.5% real — modestly POSITIVE in real terms (real decline needs g below inflation, not below Rf). WRONG IF: FY34E revenue growth of 16% means the business is far from steady state at the terminal year.</v>
      </c>
    </row>
    <row r="141" spans="1:16" ht="45" x14ac:dyDescent="0.25">
      <c r="A141" s="141" t="s">
        <v>68</v>
      </c>
      <c r="B141" s="322">
        <v>919</v>
      </c>
      <c r="C141" s="19"/>
      <c r="P141" s="313" t="str">
        <f>"Paid-up capital INR 919 Cr at INR 1 face value = 919 crore shares (audited FY26 BS, as received). MANUAL – OPEN: market data implies ~960–965 crore; at "&amp;TEXT(B155,"0")&amp;" crore (B155) DCF value per share is "&amp;TEXT(DCF!B35,"0.00")&amp;" vs "&amp;TEXT(DCF!B32,"0.00")&amp;"."</f>
        <v>Paid-up capital INR 919 Cr at INR 1 face value = 919 crore shares (audited FY26 BS, as received). MANUAL – OPEN: market data implies ~960–965 crore; at 965 crore (B155) DCF value per share is 92.14 vs 96.75.</v>
      </c>
    </row>
    <row r="142" spans="1:16" x14ac:dyDescent="0.25">
      <c r="A142" s="141" t="s">
        <v>69</v>
      </c>
      <c r="B142" s="323">
        <v>281</v>
      </c>
      <c r="C142" s="34"/>
      <c r="P142" s="128" t="s">
        <v>70</v>
      </c>
    </row>
    <row r="143" spans="1:16" ht="30" x14ac:dyDescent="0.25">
      <c r="A143" s="141" t="s">
        <v>71</v>
      </c>
      <c r="B143" s="324">
        <f>CFS!G32</f>
        <v>17972</v>
      </c>
      <c r="C143" s="19"/>
      <c r="P143" s="128" t="s">
        <v>72</v>
      </c>
    </row>
    <row r="144" spans="1:16" x14ac:dyDescent="0.25">
      <c r="A144" t="s">
        <v>73</v>
      </c>
      <c r="B144" s="324">
        <f>Lease_Schedule!G12</f>
        <v>4592</v>
      </c>
      <c r="C144" s="19"/>
      <c r="P144" s="26" t="s">
        <v>74</v>
      </c>
    </row>
    <row r="145" spans="1:16" x14ac:dyDescent="0.25">
      <c r="A145" t="s">
        <v>1508</v>
      </c>
      <c r="B145" s="282">
        <v>4.4999999999999998E-2</v>
      </c>
      <c r="C145" s="19"/>
      <c r="P145" s="26" t="s">
        <v>1514</v>
      </c>
    </row>
    <row r="146" spans="1:16" ht="30" x14ac:dyDescent="0.25">
      <c r="A146" t="s">
        <v>1509</v>
      </c>
      <c r="B146" s="282">
        <v>0.105</v>
      </c>
      <c r="P146" s="24" t="s">
        <v>1515</v>
      </c>
    </row>
    <row r="147" spans="1:16" x14ac:dyDescent="0.25">
      <c r="A147" s="8" t="s">
        <v>1487</v>
      </c>
      <c r="B147" s="103"/>
    </row>
    <row r="148" spans="1:16" x14ac:dyDescent="0.25">
      <c r="A148" s="141" t="s">
        <v>1488</v>
      </c>
      <c r="B148" s="264">
        <f>Comparable!E30</f>
        <v>0.84336586734805086</v>
      </c>
      <c r="C148" s="35"/>
      <c r="P148" s="26"/>
    </row>
    <row r="149" spans="1:16" x14ac:dyDescent="0.25">
      <c r="A149" s="141" t="s">
        <v>1489</v>
      </c>
      <c r="B149" s="264">
        <f>Comparable!E30</f>
        <v>0.84336586734805086</v>
      </c>
      <c r="C149" s="35"/>
      <c r="P149" s="26"/>
    </row>
    <row r="150" spans="1:16" x14ac:dyDescent="0.25">
      <c r="A150" s="141" t="s">
        <v>1490</v>
      </c>
      <c r="B150" s="266">
        <f>Comparable!E30</f>
        <v>0.84336586734805086</v>
      </c>
      <c r="C150" s="35"/>
      <c r="P150" s="26"/>
    </row>
    <row r="151" spans="1:16" x14ac:dyDescent="0.25">
      <c r="A151" s="141" t="s">
        <v>1491</v>
      </c>
      <c r="B151" s="267">
        <v>0.75</v>
      </c>
      <c r="C151" s="35"/>
      <c r="P151" s="26"/>
    </row>
    <row r="152" spans="1:16" x14ac:dyDescent="0.25">
      <c r="A152" t="s">
        <v>1492</v>
      </c>
      <c r="B152" s="265">
        <v>0</v>
      </c>
    </row>
    <row r="153" spans="1:16" x14ac:dyDescent="0.25">
      <c r="A153" t="s">
        <v>1493</v>
      </c>
      <c r="B153" s="9">
        <v>4</v>
      </c>
    </row>
    <row r="154" spans="1:16" ht="60" x14ac:dyDescent="0.25">
      <c r="A154" t="s">
        <v>1510</v>
      </c>
      <c r="B154" s="256">
        <v>1.22</v>
      </c>
      <c r="P154" s="24" t="s">
        <v>1516</v>
      </c>
    </row>
    <row r="155" spans="1:16" ht="45" x14ac:dyDescent="0.25">
      <c r="A155" t="s">
        <v>1511</v>
      </c>
      <c r="B155" s="256">
        <v>965</v>
      </c>
      <c r="P155" s="24" t="s">
        <v>1517</v>
      </c>
    </row>
    <row r="156" spans="1:16" ht="30" x14ac:dyDescent="0.25">
      <c r="A156" t="s">
        <v>1512</v>
      </c>
      <c r="B156" s="256">
        <v>0</v>
      </c>
      <c r="P156" s="24" t="s">
        <v>1518</v>
      </c>
    </row>
    <row r="157" spans="1:16" ht="30" x14ac:dyDescent="0.25">
      <c r="A157" t="s">
        <v>1513</v>
      </c>
      <c r="B157" s="31">
        <v>0.25169999999999998</v>
      </c>
      <c r="P157" s="24" t="s">
        <v>1519</v>
      </c>
    </row>
    <row r="158" spans="1:16" x14ac:dyDescent="0.25">
      <c r="A158" t="s">
        <v>1542</v>
      </c>
      <c r="B158" s="194">
        <v>0.16</v>
      </c>
      <c r="P158" s="24" t="s">
        <v>1543</v>
      </c>
    </row>
    <row r="159" spans="1:16" ht="30" x14ac:dyDescent="0.25">
      <c r="A159" t="s">
        <v>1554</v>
      </c>
      <c r="B159" s="256">
        <v>92</v>
      </c>
      <c r="C159" s="9"/>
      <c r="D159" s="9"/>
      <c r="E159" s="9"/>
      <c r="P159" s="24" t="s">
        <v>1556</v>
      </c>
    </row>
    <row r="160" spans="1:16" x14ac:dyDescent="0.25">
      <c r="A160" t="s">
        <v>1084</v>
      </c>
      <c r="B160" s="194">
        <v>0.18</v>
      </c>
      <c r="C160" s="9"/>
      <c r="D160" s="9"/>
      <c r="E160" s="9"/>
      <c r="P160" s="24" t="s">
        <v>1557</v>
      </c>
    </row>
    <row r="161" spans="1:16" x14ac:dyDescent="0.25">
      <c r="A161" t="s">
        <v>1092</v>
      </c>
      <c r="B161" s="194">
        <v>0.05</v>
      </c>
      <c r="C161" s="9"/>
      <c r="D161" s="9"/>
      <c r="E161" s="9"/>
      <c r="P161" s="24" t="s">
        <v>1558</v>
      </c>
    </row>
    <row r="162" spans="1:16" x14ac:dyDescent="0.25">
      <c r="A162" t="s">
        <v>1093</v>
      </c>
      <c r="B162" s="194">
        <v>0.02</v>
      </c>
      <c r="C162" s="9"/>
      <c r="D162" s="9"/>
      <c r="E162" s="9"/>
      <c r="P162" s="24" t="s">
        <v>1559</v>
      </c>
    </row>
    <row r="163" spans="1:16" ht="30" x14ac:dyDescent="0.25">
      <c r="A163" t="s">
        <v>1555</v>
      </c>
      <c r="B163" s="201">
        <v>0.5</v>
      </c>
      <c r="C163" s="201">
        <v>0.75</v>
      </c>
      <c r="D163" s="201">
        <v>0.9</v>
      </c>
      <c r="E163" s="201">
        <v>1</v>
      </c>
      <c r="P163" s="24" t="s">
        <v>1560</v>
      </c>
    </row>
  </sheetData>
  <mergeCells count="3">
    <mergeCell ref="P16:P18"/>
    <mergeCell ref="P20:P21"/>
    <mergeCell ref="P7:P12"/>
  </mergeCells>
  <pageMargins left="0.7" right="0.7" top="0.75" bottom="0.75" header="0.3" footer="0.3"/>
  <ignoredErrors>
    <ignoredError sqref="E11:G11"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2910-F024-4A0C-9DE7-35375F0B9B83}">
  <dimension ref="A1:P89"/>
  <sheetViews>
    <sheetView topLeftCell="A33" zoomScale="60" zoomScaleNormal="60" workbookViewId="0">
      <pane xSplit="1" topLeftCell="B1" activePane="topRight" state="frozen"/>
      <selection pane="topRight" activeCell="O8" sqref="O8:O27"/>
    </sheetView>
  </sheetViews>
  <sheetFormatPr defaultRowHeight="15" x14ac:dyDescent="0.25"/>
  <cols>
    <col min="1" max="1" width="63.85546875" customWidth="1"/>
    <col min="2" max="2" width="8.5703125" customWidth="1"/>
    <col min="3" max="4" width="10.85546875" customWidth="1"/>
    <col min="5" max="14" width="14.140625" customWidth="1"/>
    <col min="15" max="15" width="42.140625" style="24" customWidth="1"/>
    <col min="16" max="16" width="47.28515625" customWidth="1"/>
  </cols>
  <sheetData>
    <row r="1" spans="1:16" ht="18.75" x14ac:dyDescent="0.3">
      <c r="A1" s="5" t="s">
        <v>745</v>
      </c>
      <c r="O1" s="83"/>
      <c r="P1" s="3" t="s">
        <v>893</v>
      </c>
    </row>
    <row r="2" spans="1:16" x14ac:dyDescent="0.25">
      <c r="A2" s="4" t="s">
        <v>75</v>
      </c>
      <c r="B2" s="4" t="s">
        <v>5</v>
      </c>
      <c r="C2" s="55" t="s">
        <v>678</v>
      </c>
      <c r="D2" s="55" t="s">
        <v>679</v>
      </c>
      <c r="E2" s="6" t="s">
        <v>23</v>
      </c>
      <c r="F2" s="6" t="s">
        <v>6</v>
      </c>
      <c r="G2" s="6" t="s">
        <v>24</v>
      </c>
      <c r="H2" s="6" t="s">
        <v>25</v>
      </c>
      <c r="I2" s="6" t="s">
        <v>26</v>
      </c>
      <c r="J2" s="6" t="s">
        <v>27</v>
      </c>
      <c r="K2" s="6" t="s">
        <v>28</v>
      </c>
      <c r="L2" s="6" t="s">
        <v>29</v>
      </c>
      <c r="M2" s="6" t="s">
        <v>30</v>
      </c>
      <c r="N2" s="6" t="s">
        <v>7</v>
      </c>
      <c r="O2" s="84" t="s">
        <v>76</v>
      </c>
    </row>
    <row r="3" spans="1:16" ht="21" x14ac:dyDescent="0.35">
      <c r="A3" s="153" t="s">
        <v>733</v>
      </c>
      <c r="B3" s="74"/>
      <c r="C3" s="74"/>
      <c r="D3" s="74"/>
      <c r="E3" s="74"/>
      <c r="F3" s="74"/>
      <c r="G3" s="122"/>
      <c r="H3" s="122"/>
      <c r="I3" s="122"/>
      <c r="J3" s="122"/>
      <c r="K3" s="122"/>
      <c r="L3" s="122"/>
      <c r="M3" s="122"/>
      <c r="N3" s="122"/>
      <c r="O3" s="89"/>
      <c r="P3" s="78" t="str">
        <f>Data_Sources!$D$15&amp;" | "&amp;Data_Sources!$E$15&amp;" | "&amp;Data_Sources!$F$15</f>
        <v>Eternal Q4FY26 shareholders' letter | Annexure A &amp; B (reconciliation to reported P&amp;L) | https://b.zmtcdn.com/investor-relations/Eternal_Shareholders_Letter_Q4FY26_Results.pdf</v>
      </c>
    </row>
    <row r="4" spans="1:16" x14ac:dyDescent="0.25">
      <c r="A4" s="3" t="s">
        <v>186</v>
      </c>
      <c r="B4" t="s">
        <v>9</v>
      </c>
      <c r="C4" s="292">
        <f t="shared" ref="C4:N4" si="0">C42</f>
        <v>22501</v>
      </c>
      <c r="D4" s="292">
        <f t="shared" si="0"/>
        <v>27478</v>
      </c>
      <c r="E4" s="292">
        <f t="shared" si="0"/>
        <v>32862</v>
      </c>
      <c r="F4" s="292">
        <f t="shared" si="0"/>
        <v>37993</v>
      </c>
      <c r="G4" s="292">
        <f t="shared" si="0"/>
        <v>44994.96</v>
      </c>
      <c r="H4" s="292">
        <f t="shared" si="0"/>
        <v>53302.200000000004</v>
      </c>
      <c r="I4" s="292">
        <f t="shared" si="0"/>
        <v>63118.71</v>
      </c>
      <c r="J4" s="292">
        <f t="shared" si="0"/>
        <v>74745.919999999998</v>
      </c>
      <c r="K4" s="292">
        <f t="shared" si="0"/>
        <v>87781.439999999988</v>
      </c>
      <c r="L4" s="292">
        <f t="shared" si="0"/>
        <v>103062</v>
      </c>
      <c r="M4" s="292">
        <f t="shared" si="0"/>
        <v>121040.27</v>
      </c>
      <c r="N4" s="292">
        <f t="shared" si="0"/>
        <v>142112.87999999998</v>
      </c>
      <c r="O4" s="83"/>
    </row>
    <row r="5" spans="1:16" x14ac:dyDescent="0.25">
      <c r="A5" t="s">
        <v>734</v>
      </c>
      <c r="B5" t="s">
        <v>13</v>
      </c>
      <c r="C5" s="290">
        <f t="shared" ref="C5:N5" si="1">IFERROR(C51/C4,"n.a.")</f>
        <v>0.27318785831740811</v>
      </c>
      <c r="D5" s="290">
        <f t="shared" si="1"/>
        <v>0.28357231239537084</v>
      </c>
      <c r="E5" s="290">
        <f t="shared" si="1"/>
        <v>0.28659241677317265</v>
      </c>
      <c r="F5" s="290">
        <f t="shared" si="1"/>
        <v>0.30789882346748088</v>
      </c>
      <c r="G5" s="290">
        <f t="shared" si="1"/>
        <v>0.315</v>
      </c>
      <c r="H5" s="290">
        <f t="shared" si="1"/>
        <v>0.32</v>
      </c>
      <c r="I5" s="290">
        <f t="shared" si="1"/>
        <v>0.32500000000000001</v>
      </c>
      <c r="J5" s="290">
        <f t="shared" si="1"/>
        <v>0.33</v>
      </c>
      <c r="K5" s="290">
        <f t="shared" si="1"/>
        <v>0.33</v>
      </c>
      <c r="L5" s="290">
        <f t="shared" si="1"/>
        <v>0.33</v>
      </c>
      <c r="M5" s="290">
        <f t="shared" si="1"/>
        <v>0.33</v>
      </c>
      <c r="N5" s="290">
        <f t="shared" si="1"/>
        <v>0.33</v>
      </c>
      <c r="O5" s="83"/>
    </row>
    <row r="6" spans="1:16" x14ac:dyDescent="0.25">
      <c r="A6" t="s">
        <v>735</v>
      </c>
      <c r="B6" t="s">
        <v>9</v>
      </c>
      <c r="C6" s="292">
        <f>IFERROR(C4*C5,"n.a.")</f>
        <v>6147</v>
      </c>
      <c r="D6" s="292">
        <f t="shared" ref="D6:N6" si="2">IFERROR(D4*D5,"n.a.")</f>
        <v>7792</v>
      </c>
      <c r="E6" s="292">
        <f t="shared" si="2"/>
        <v>9418</v>
      </c>
      <c r="F6" s="292">
        <f t="shared" si="2"/>
        <v>11698</v>
      </c>
      <c r="G6" s="292">
        <f t="shared" si="2"/>
        <v>14173.412399999999</v>
      </c>
      <c r="H6" s="292">
        <f t="shared" si="2"/>
        <v>17056.704000000002</v>
      </c>
      <c r="I6" s="292">
        <f t="shared" si="2"/>
        <v>20513.580750000001</v>
      </c>
      <c r="J6" s="292">
        <f t="shared" si="2"/>
        <v>24666.153600000001</v>
      </c>
      <c r="K6" s="292">
        <f t="shared" si="2"/>
        <v>28967.875199999999</v>
      </c>
      <c r="L6" s="292">
        <f t="shared" si="2"/>
        <v>34010.46</v>
      </c>
      <c r="M6" s="292">
        <f t="shared" si="2"/>
        <v>39943.289100000002</v>
      </c>
      <c r="N6" s="292">
        <f t="shared" si="2"/>
        <v>46897.250399999997</v>
      </c>
      <c r="O6" s="83"/>
    </row>
    <row r="7" spans="1:16" x14ac:dyDescent="0.25">
      <c r="C7" s="18"/>
      <c r="D7" s="18"/>
      <c r="E7" s="18"/>
      <c r="F7" s="18"/>
      <c r="G7" s="68"/>
      <c r="H7" s="68"/>
      <c r="I7" s="68"/>
      <c r="J7" s="68"/>
      <c r="K7" s="68"/>
      <c r="L7" s="68"/>
      <c r="M7" s="68"/>
      <c r="N7" s="68"/>
      <c r="O7" s="83"/>
    </row>
    <row r="8" spans="1:16" x14ac:dyDescent="0.25">
      <c r="A8" s="3" t="s">
        <v>736</v>
      </c>
      <c r="B8" t="s">
        <v>9</v>
      </c>
      <c r="C8" s="292">
        <f t="shared" ref="C8:N8" si="3">C56</f>
        <v>5690</v>
      </c>
      <c r="D8" s="292">
        <f t="shared" si="3"/>
        <v>10503</v>
      </c>
      <c r="E8" s="292">
        <f t="shared" si="3"/>
        <v>22371</v>
      </c>
      <c r="F8" s="292">
        <f t="shared" si="3"/>
        <v>48568</v>
      </c>
      <c r="G8" s="292">
        <f t="shared" si="3"/>
        <v>122333.4</v>
      </c>
      <c r="H8" s="292">
        <f t="shared" si="3"/>
        <v>172703.4</v>
      </c>
      <c r="I8" s="292">
        <f t="shared" si="3"/>
        <v>236930.625</v>
      </c>
      <c r="J8" s="292">
        <f t="shared" si="3"/>
        <v>310465.34999999998</v>
      </c>
      <c r="K8" s="292">
        <f t="shared" si="3"/>
        <v>392623.2</v>
      </c>
      <c r="L8" s="292">
        <f t="shared" si="3"/>
        <v>482537.3</v>
      </c>
      <c r="M8" s="292">
        <f t="shared" si="3"/>
        <v>580481.4</v>
      </c>
      <c r="N8" s="292">
        <f t="shared" si="3"/>
        <v>663838.27500000002</v>
      </c>
      <c r="O8" s="224"/>
    </row>
    <row r="9" spans="1:16" x14ac:dyDescent="0.25">
      <c r="A9" t="s">
        <v>734</v>
      </c>
      <c r="B9" t="s">
        <v>13</v>
      </c>
      <c r="C9" s="290">
        <f t="shared" ref="C9:N9" si="4">IFERROR(C68/C8,"n.a.")</f>
        <v>0.14165202108963093</v>
      </c>
      <c r="D9" s="290">
        <f t="shared" si="4"/>
        <v>0.21917547367418833</v>
      </c>
      <c r="E9" s="290">
        <f t="shared" si="4"/>
        <v>0.23271199320548924</v>
      </c>
      <c r="F9" s="290">
        <f t="shared" si="4"/>
        <v>0.77785784878932629</v>
      </c>
      <c r="G9" s="290">
        <f t="shared" si="4"/>
        <v>0.92</v>
      </c>
      <c r="H9" s="290">
        <f t="shared" si="4"/>
        <v>0.92</v>
      </c>
      <c r="I9" s="290">
        <f t="shared" si="4"/>
        <v>0.92</v>
      </c>
      <c r="J9" s="290">
        <f t="shared" si="4"/>
        <v>0.92</v>
      </c>
      <c r="K9" s="290">
        <f t="shared" si="4"/>
        <v>0.92</v>
      </c>
      <c r="L9" s="290">
        <f t="shared" si="4"/>
        <v>0.92</v>
      </c>
      <c r="M9" s="290">
        <f t="shared" si="4"/>
        <v>0.92</v>
      </c>
      <c r="N9" s="290">
        <f t="shared" si="4"/>
        <v>0.92000000000000015</v>
      </c>
      <c r="O9" s="224" t="s">
        <v>757</v>
      </c>
    </row>
    <row r="10" spans="1:16" x14ac:dyDescent="0.25">
      <c r="A10" t="s">
        <v>737</v>
      </c>
      <c r="B10" t="s">
        <v>9</v>
      </c>
      <c r="C10" s="292">
        <f>IFERROR(C8*C9,"n.a.")</f>
        <v>806</v>
      </c>
      <c r="D10" s="292">
        <f t="shared" ref="D10:N10" si="5">IFERROR(D8*D9,"n.a.")</f>
        <v>2302</v>
      </c>
      <c r="E10" s="292">
        <f t="shared" si="5"/>
        <v>5206</v>
      </c>
      <c r="F10" s="292">
        <f t="shared" si="5"/>
        <v>37779</v>
      </c>
      <c r="G10" s="292">
        <f t="shared" si="5"/>
        <v>112546.728</v>
      </c>
      <c r="H10" s="292">
        <f t="shared" si="5"/>
        <v>158887.128</v>
      </c>
      <c r="I10" s="292">
        <f t="shared" si="5"/>
        <v>217976.17500000002</v>
      </c>
      <c r="J10" s="292">
        <f t="shared" si="5"/>
        <v>285628.12199999997</v>
      </c>
      <c r="K10" s="292">
        <f t="shared" si="5"/>
        <v>361213.34400000004</v>
      </c>
      <c r="L10" s="292">
        <f t="shared" si="5"/>
        <v>443934.31599999999</v>
      </c>
      <c r="M10" s="292">
        <f t="shared" si="5"/>
        <v>534042.88800000004</v>
      </c>
      <c r="N10" s="292">
        <f t="shared" si="5"/>
        <v>610731.21300000011</v>
      </c>
      <c r="O10" s="224"/>
    </row>
    <row r="11" spans="1:16" x14ac:dyDescent="0.25">
      <c r="C11" s="18"/>
      <c r="D11" s="18"/>
      <c r="E11" s="18"/>
      <c r="F11" s="18"/>
      <c r="G11" s="68"/>
      <c r="H11" s="68"/>
      <c r="I11" s="68"/>
      <c r="J11" s="68"/>
      <c r="K11" s="68"/>
      <c r="L11" s="68"/>
      <c r="M11" s="68"/>
      <c r="N11" s="68"/>
      <c r="O11" s="224"/>
    </row>
    <row r="12" spans="1:16" x14ac:dyDescent="0.25">
      <c r="A12" s="3" t="s">
        <v>738</v>
      </c>
      <c r="B12" t="s">
        <v>9</v>
      </c>
      <c r="C12" s="292" t="str">
        <f t="shared" ref="C12:N12" si="6">IF(ISNUMBER(C72),C72,"n.a.")</f>
        <v>n.a.</v>
      </c>
      <c r="D12" s="292">
        <f t="shared" si="6"/>
        <v>3225</v>
      </c>
      <c r="E12" s="292">
        <f t="shared" si="6"/>
        <v>6619</v>
      </c>
      <c r="F12" s="292">
        <f t="shared" si="6"/>
        <v>9399</v>
      </c>
      <c r="G12" s="292">
        <f t="shared" si="6"/>
        <v>13158.599999999999</v>
      </c>
      <c r="H12" s="292">
        <f t="shared" si="6"/>
        <v>17895.695999999996</v>
      </c>
      <c r="I12" s="292">
        <f t="shared" si="6"/>
        <v>23622.318719999996</v>
      </c>
      <c r="J12" s="292">
        <f t="shared" si="6"/>
        <v>30709.014335999997</v>
      </c>
      <c r="K12" s="292">
        <f t="shared" si="6"/>
        <v>38386.267919999998</v>
      </c>
      <c r="L12" s="292">
        <f t="shared" si="6"/>
        <v>47982.834900000002</v>
      </c>
      <c r="M12" s="292">
        <f t="shared" si="6"/>
        <v>59978.543625000006</v>
      </c>
      <c r="N12" s="292">
        <f t="shared" si="6"/>
        <v>74973.179531250003</v>
      </c>
      <c r="O12" s="224" t="s">
        <v>758</v>
      </c>
    </row>
    <row r="13" spans="1:16" x14ac:dyDescent="0.25">
      <c r="A13" t="s">
        <v>734</v>
      </c>
      <c r="B13" t="s">
        <v>13</v>
      </c>
      <c r="C13" s="290" t="str">
        <f t="shared" ref="C13:N13" si="7">IFERROR(C75/C12,"n.a.")</f>
        <v>n.a.</v>
      </c>
      <c r="D13" s="290">
        <f t="shared" si="7"/>
        <v>7.9689922480620151E-2</v>
      </c>
      <c r="E13" s="290">
        <f t="shared" si="7"/>
        <v>0.11285692702825201</v>
      </c>
      <c r="F13" s="290">
        <f t="shared" si="7"/>
        <v>0.10352165123949357</v>
      </c>
      <c r="G13" s="290">
        <f t="shared" si="7"/>
        <v>0.105</v>
      </c>
      <c r="H13" s="290">
        <f t="shared" si="7"/>
        <v>0.11</v>
      </c>
      <c r="I13" s="290">
        <f t="shared" si="7"/>
        <v>0.115</v>
      </c>
      <c r="J13" s="290">
        <f t="shared" si="7"/>
        <v>0.12</v>
      </c>
      <c r="K13" s="290">
        <f t="shared" si="7"/>
        <v>0.12000000000000001</v>
      </c>
      <c r="L13" s="290">
        <f t="shared" si="7"/>
        <v>0.11999999999999998</v>
      </c>
      <c r="M13" s="290">
        <f t="shared" si="7"/>
        <v>0.12</v>
      </c>
      <c r="N13" s="290">
        <f t="shared" si="7"/>
        <v>0.11999999999999998</v>
      </c>
      <c r="O13" s="224"/>
    </row>
    <row r="14" spans="1:16" x14ac:dyDescent="0.25">
      <c r="A14" t="s">
        <v>739</v>
      </c>
      <c r="B14" t="s">
        <v>9</v>
      </c>
      <c r="C14" s="292" t="str">
        <f>IFERROR(C12*C13,"n.a.")</f>
        <v>n.a.</v>
      </c>
      <c r="D14" s="292">
        <f t="shared" ref="D14:N14" si="8">IFERROR(D12*D13,"n.a.")</f>
        <v>257</v>
      </c>
      <c r="E14" s="292">
        <f t="shared" si="8"/>
        <v>747</v>
      </c>
      <c r="F14" s="292">
        <f t="shared" si="8"/>
        <v>973.00000000000011</v>
      </c>
      <c r="G14" s="292">
        <f t="shared" si="8"/>
        <v>1381.6529999999998</v>
      </c>
      <c r="H14" s="292">
        <f t="shared" si="8"/>
        <v>1968.5265599999996</v>
      </c>
      <c r="I14" s="292">
        <f t="shared" si="8"/>
        <v>2716.5666527999997</v>
      </c>
      <c r="J14" s="292">
        <f t="shared" si="8"/>
        <v>3685.0817203199995</v>
      </c>
      <c r="K14" s="292">
        <f t="shared" si="8"/>
        <v>4606.3521504</v>
      </c>
      <c r="L14" s="292">
        <f t="shared" si="8"/>
        <v>5757.9401879999996</v>
      </c>
      <c r="M14" s="292">
        <f t="shared" si="8"/>
        <v>7197.4252350000006</v>
      </c>
      <c r="N14" s="292">
        <f t="shared" si="8"/>
        <v>8996.7815437499994</v>
      </c>
      <c r="O14" s="224"/>
    </row>
    <row r="15" spans="1:16" x14ac:dyDescent="0.25">
      <c r="C15" s="18"/>
      <c r="D15" s="18"/>
      <c r="E15" s="18"/>
      <c r="F15" s="18"/>
      <c r="G15" s="68"/>
      <c r="H15" s="68"/>
      <c r="I15" s="68"/>
      <c r="J15" s="68"/>
      <c r="K15" s="68"/>
      <c r="L15" s="68"/>
      <c r="M15" s="68"/>
      <c r="N15" s="68"/>
      <c r="O15" s="224"/>
    </row>
    <row r="16" spans="1:16" x14ac:dyDescent="0.25">
      <c r="A16" s="3" t="s">
        <v>84</v>
      </c>
      <c r="B16" t="s">
        <v>9</v>
      </c>
      <c r="C16" s="325">
        <f>SUM(C4,C8,C12)</f>
        <v>28191</v>
      </c>
      <c r="D16" s="325">
        <f t="shared" ref="D16:N16" si="9">SUM(D4,D8,D12)</f>
        <v>41206</v>
      </c>
      <c r="E16" s="325">
        <f t="shared" si="9"/>
        <v>61852</v>
      </c>
      <c r="F16" s="325">
        <f t="shared" si="9"/>
        <v>95960</v>
      </c>
      <c r="G16" s="325">
        <f t="shared" si="9"/>
        <v>180486.96</v>
      </c>
      <c r="H16" s="325">
        <f t="shared" si="9"/>
        <v>243901.296</v>
      </c>
      <c r="I16" s="325">
        <f t="shared" si="9"/>
        <v>323671.65372</v>
      </c>
      <c r="J16" s="325">
        <f t="shared" si="9"/>
        <v>415920.28433599998</v>
      </c>
      <c r="K16" s="325">
        <f t="shared" si="9"/>
        <v>518790.90792000003</v>
      </c>
      <c r="L16" s="325">
        <f t="shared" si="9"/>
        <v>633582.13490000006</v>
      </c>
      <c r="M16" s="325">
        <f t="shared" si="9"/>
        <v>761500.21362500009</v>
      </c>
      <c r="N16" s="325">
        <f t="shared" si="9"/>
        <v>880924.33453125006</v>
      </c>
      <c r="O16" s="224"/>
    </row>
    <row r="17" spans="1:15" x14ac:dyDescent="0.25">
      <c r="A17" t="s">
        <v>740</v>
      </c>
      <c r="B17" t="s">
        <v>13</v>
      </c>
      <c r="C17" s="290">
        <f>IFERROR(SUM(C6,C10,C14)/C16,"n.a.")</f>
        <v>0.24663899826185662</v>
      </c>
      <c r="D17" s="290">
        <f t="shared" ref="D17:N17" si="10">IFERROR(SUM(D6,D10,D14)/D16,"n.a.")</f>
        <v>0.25120128136679126</v>
      </c>
      <c r="E17" s="290">
        <f t="shared" si="10"/>
        <v>0.24851257841298582</v>
      </c>
      <c r="F17" s="290">
        <f t="shared" si="10"/>
        <v>0.52573989162150891</v>
      </c>
      <c r="G17" s="290">
        <f t="shared" si="10"/>
        <v>0.70975650207638274</v>
      </c>
      <c r="H17" s="290">
        <f t="shared" si="10"/>
        <v>0.72944408856277665</v>
      </c>
      <c r="I17" s="290">
        <f t="shared" si="10"/>
        <v>0.74521917390844905</v>
      </c>
      <c r="J17" s="290">
        <f t="shared" si="10"/>
        <v>0.75490272810708281</v>
      </c>
      <c r="K17" s="290">
        <f t="shared" si="10"/>
        <v>0.76097627256659273</v>
      </c>
      <c r="L17" s="290">
        <f t="shared" si="10"/>
        <v>0.76344121707968304</v>
      </c>
      <c r="M17" s="290">
        <f t="shared" si="10"/>
        <v>0.76320871870589291</v>
      </c>
      <c r="N17" s="290">
        <f t="shared" si="10"/>
        <v>0.75673382924365351</v>
      </c>
      <c r="O17" s="224"/>
    </row>
    <row r="18" spans="1:15" x14ac:dyDescent="0.25">
      <c r="A18" s="3" t="s">
        <v>741</v>
      </c>
      <c r="B18" t="s">
        <v>9</v>
      </c>
      <c r="C18" s="325">
        <f>IFERROR(C16*C17,"n.a.")</f>
        <v>6953</v>
      </c>
      <c r="D18" s="325">
        <f t="shared" ref="D18:N18" si="11">IFERROR(D16*D17,"n.a.")</f>
        <v>10351</v>
      </c>
      <c r="E18" s="325">
        <f t="shared" si="11"/>
        <v>15371</v>
      </c>
      <c r="F18" s="325">
        <f t="shared" si="11"/>
        <v>50449.999999999993</v>
      </c>
      <c r="G18" s="325">
        <f t="shared" si="11"/>
        <v>128101.79340000001</v>
      </c>
      <c r="H18" s="325">
        <f t="shared" si="11"/>
        <v>177912.35855999999</v>
      </c>
      <c r="I18" s="325">
        <f t="shared" si="11"/>
        <v>241206.32240279997</v>
      </c>
      <c r="J18" s="325">
        <f t="shared" si="11"/>
        <v>313979.35732031998</v>
      </c>
      <c r="K18" s="325">
        <f t="shared" si="11"/>
        <v>394787.57135040005</v>
      </c>
      <c r="L18" s="325">
        <f t="shared" si="11"/>
        <v>483702.71618799999</v>
      </c>
      <c r="M18" s="325">
        <f t="shared" si="11"/>
        <v>581183.60233500006</v>
      </c>
      <c r="N18" s="325">
        <f t="shared" si="11"/>
        <v>666625.24494375009</v>
      </c>
      <c r="O18" s="224"/>
    </row>
    <row r="19" spans="1:15" x14ac:dyDescent="0.25">
      <c r="A19" s="3"/>
      <c r="C19" s="27"/>
      <c r="D19" s="27"/>
      <c r="E19" s="27"/>
      <c r="F19" s="27"/>
      <c r="G19" s="71"/>
      <c r="H19" s="71"/>
      <c r="I19" s="71"/>
      <c r="J19" s="71"/>
      <c r="K19" s="71"/>
      <c r="L19" s="71"/>
      <c r="M19" s="71"/>
      <c r="N19" s="71"/>
      <c r="O19" s="224"/>
    </row>
    <row r="20" spans="1:15" x14ac:dyDescent="0.25">
      <c r="A20" t="s">
        <v>742</v>
      </c>
      <c r="B20" t="s">
        <v>9</v>
      </c>
      <c r="C20" s="292">
        <f t="shared" ref="C20:N20" si="12">C80</f>
        <v>1506</v>
      </c>
      <c r="D20" s="292">
        <f t="shared" si="12"/>
        <v>3172</v>
      </c>
      <c r="E20" s="292">
        <f t="shared" si="12"/>
        <v>6196</v>
      </c>
      <c r="F20" s="292">
        <f t="shared" si="12"/>
        <v>5366</v>
      </c>
      <c r="G20" s="292">
        <f t="shared" si="12"/>
        <v>5210.7999999999993</v>
      </c>
      <c r="H20" s="292">
        <f t="shared" si="12"/>
        <v>7295.1199999999981</v>
      </c>
      <c r="I20" s="292">
        <f t="shared" si="12"/>
        <v>10213.167999999996</v>
      </c>
      <c r="J20" s="292">
        <f t="shared" si="12"/>
        <v>14298.435199999994</v>
      </c>
      <c r="K20" s="292">
        <f t="shared" si="12"/>
        <v>20017.80927999999</v>
      </c>
      <c r="L20" s="292">
        <f t="shared" si="12"/>
        <v>28024.932991999984</v>
      </c>
      <c r="M20" s="292">
        <f t="shared" si="12"/>
        <v>39234.906188799978</v>
      </c>
      <c r="N20" s="292">
        <f t="shared" si="12"/>
        <v>54928.868664319969</v>
      </c>
      <c r="O20" s="224"/>
    </row>
    <row r="21" spans="1:15" x14ac:dyDescent="0.25">
      <c r="A21" t="s">
        <v>743</v>
      </c>
      <c r="B21" t="s">
        <v>9</v>
      </c>
      <c r="C21" s="292">
        <f t="shared" ref="C21:N21" si="13">C87</f>
        <v>234</v>
      </c>
      <c r="D21" s="292">
        <f t="shared" si="13"/>
        <v>22</v>
      </c>
      <c r="E21" s="292">
        <f t="shared" si="13"/>
        <v>30</v>
      </c>
      <c r="F21" s="292">
        <f t="shared" si="13"/>
        <v>87</v>
      </c>
      <c r="G21" s="292">
        <f t="shared" si="13"/>
        <v>121.8</v>
      </c>
      <c r="H21" s="292">
        <f t="shared" si="13"/>
        <v>164.43</v>
      </c>
      <c r="I21" s="292">
        <f t="shared" si="13"/>
        <v>213.75900000000001</v>
      </c>
      <c r="J21" s="292">
        <f t="shared" si="13"/>
        <v>267.19875000000002</v>
      </c>
      <c r="K21" s="292">
        <f t="shared" si="13"/>
        <v>320.63850000000002</v>
      </c>
      <c r="L21" s="292">
        <f t="shared" si="13"/>
        <v>368.73427499999997</v>
      </c>
      <c r="M21" s="292">
        <f t="shared" si="13"/>
        <v>412.98238800000001</v>
      </c>
      <c r="N21" s="292">
        <f t="shared" si="13"/>
        <v>454.28062680000005</v>
      </c>
      <c r="O21" s="224"/>
    </row>
    <row r="22" spans="1:15" x14ac:dyDescent="0.25">
      <c r="A22" s="3"/>
      <c r="C22" s="18"/>
      <c r="D22" s="18"/>
      <c r="E22" s="18"/>
      <c r="F22" s="18"/>
      <c r="G22" s="68"/>
      <c r="H22" s="68"/>
      <c r="I22" s="68"/>
      <c r="J22" s="68"/>
      <c r="K22" s="68"/>
      <c r="L22" s="68"/>
      <c r="M22" s="68"/>
      <c r="N22" s="68"/>
      <c r="O22" s="224"/>
    </row>
    <row r="23" spans="1:15" x14ac:dyDescent="0.25">
      <c r="A23" s="3" t="s">
        <v>95</v>
      </c>
      <c r="B23" t="s">
        <v>9</v>
      </c>
      <c r="C23" s="325">
        <f>SUM(C18,C20,C21)</f>
        <v>8693</v>
      </c>
      <c r="D23" s="325">
        <f t="shared" ref="D23:N23" si="14">SUM(D18,D20,D21)</f>
        <v>13545</v>
      </c>
      <c r="E23" s="325">
        <f t="shared" si="14"/>
        <v>21597</v>
      </c>
      <c r="F23" s="325">
        <f t="shared" si="14"/>
        <v>55902.999999999993</v>
      </c>
      <c r="G23" s="325">
        <f t="shared" si="14"/>
        <v>133434.3934</v>
      </c>
      <c r="H23" s="325">
        <f t="shared" si="14"/>
        <v>185371.90855999998</v>
      </c>
      <c r="I23" s="325">
        <f t="shared" si="14"/>
        <v>251633.24940279996</v>
      </c>
      <c r="J23" s="325">
        <f t="shared" si="14"/>
        <v>328544.99127031997</v>
      </c>
      <c r="K23" s="325">
        <f t="shared" si="14"/>
        <v>415126.01913040003</v>
      </c>
      <c r="L23" s="325">
        <f t="shared" si="14"/>
        <v>512096.38345499994</v>
      </c>
      <c r="M23" s="325">
        <f t="shared" si="14"/>
        <v>620831.49091180007</v>
      </c>
      <c r="N23" s="325">
        <f t="shared" si="14"/>
        <v>722008.39423487009</v>
      </c>
      <c r="O23" s="224"/>
    </row>
    <row r="24" spans="1:15" x14ac:dyDescent="0.25">
      <c r="A24" s="75" t="s">
        <v>744</v>
      </c>
      <c r="B24" t="s">
        <v>9</v>
      </c>
      <c r="C24" s="326">
        <f>C23-C27</f>
        <v>0</v>
      </c>
      <c r="D24" s="326">
        <f t="shared" ref="D24:N24" si="15">D23-D27</f>
        <v>0</v>
      </c>
      <c r="E24" s="326">
        <f t="shared" si="15"/>
        <v>0</v>
      </c>
      <c r="F24" s="326">
        <f t="shared" si="15"/>
        <v>0</v>
      </c>
      <c r="G24" s="326">
        <f t="shared" si="15"/>
        <v>0</v>
      </c>
      <c r="H24" s="326">
        <f t="shared" si="15"/>
        <v>0</v>
      </c>
      <c r="I24" s="326">
        <f t="shared" si="15"/>
        <v>0</v>
      </c>
      <c r="J24" s="326">
        <f t="shared" si="15"/>
        <v>0</v>
      </c>
      <c r="K24" s="326">
        <f t="shared" si="15"/>
        <v>0</v>
      </c>
      <c r="L24" s="326">
        <f t="shared" si="15"/>
        <v>0</v>
      </c>
      <c r="M24" s="326">
        <f t="shared" si="15"/>
        <v>0</v>
      </c>
      <c r="N24" s="326">
        <f t="shared" si="15"/>
        <v>0</v>
      </c>
      <c r="O24" s="224"/>
    </row>
    <row r="25" spans="1:15" x14ac:dyDescent="0.25">
      <c r="G25" s="70"/>
      <c r="H25" s="70"/>
      <c r="I25" s="70"/>
      <c r="J25" s="70"/>
      <c r="K25" s="70"/>
      <c r="L25" s="70"/>
      <c r="M25" s="70"/>
      <c r="N25" s="70"/>
      <c r="O25" s="224"/>
    </row>
    <row r="26" spans="1:15" x14ac:dyDescent="0.25">
      <c r="A26" s="10" t="s">
        <v>86</v>
      </c>
      <c r="G26" s="70"/>
      <c r="H26" s="70"/>
      <c r="I26" s="70"/>
      <c r="J26" s="70"/>
      <c r="K26" s="70"/>
      <c r="L26" s="70"/>
      <c r="M26" s="70"/>
      <c r="N26" s="70"/>
      <c r="O26" s="224"/>
    </row>
    <row r="27" spans="1:15" x14ac:dyDescent="0.25">
      <c r="A27" s="3" t="s">
        <v>87</v>
      </c>
      <c r="B27" t="s">
        <v>9</v>
      </c>
      <c r="C27" s="325">
        <f>SUM(C51,C68,C75,C80,C87)</f>
        <v>8693</v>
      </c>
      <c r="D27" s="325">
        <f>SUM(D51,D68,D75,D80,D87)</f>
        <v>13545</v>
      </c>
      <c r="E27" s="325">
        <f t="shared" ref="E27:N27" si="16">E51+E68+E75+E80+E87</f>
        <v>21597</v>
      </c>
      <c r="F27" s="325">
        <f t="shared" si="16"/>
        <v>55903</v>
      </c>
      <c r="G27" s="325">
        <f t="shared" si="16"/>
        <v>133434.3934</v>
      </c>
      <c r="H27" s="325">
        <f t="shared" si="16"/>
        <v>185371.90855999998</v>
      </c>
      <c r="I27" s="325">
        <f t="shared" si="16"/>
        <v>251633.24940279999</v>
      </c>
      <c r="J27" s="325">
        <f t="shared" si="16"/>
        <v>328544.99127031997</v>
      </c>
      <c r="K27" s="325">
        <f t="shared" si="16"/>
        <v>415126.01913040003</v>
      </c>
      <c r="L27" s="325">
        <f t="shared" si="16"/>
        <v>512096.38345499994</v>
      </c>
      <c r="M27" s="325">
        <f t="shared" si="16"/>
        <v>620831.49091180007</v>
      </c>
      <c r="N27" s="325">
        <f t="shared" si="16"/>
        <v>722008.39423487009</v>
      </c>
      <c r="O27" s="225" t="s">
        <v>759</v>
      </c>
    </row>
    <row r="28" spans="1:15" x14ac:dyDescent="0.25">
      <c r="A28" s="3" t="s">
        <v>899</v>
      </c>
      <c r="C28" s="27"/>
      <c r="D28" s="327">
        <f>D27/C27-1</f>
        <v>0.55815023582192569</v>
      </c>
      <c r="E28" s="327">
        <f t="shared" ref="E28:N28" si="17">E27/D27-1</f>
        <v>0.59446290143964564</v>
      </c>
      <c r="F28" s="327">
        <f t="shared" si="17"/>
        <v>1.5884613603741262</v>
      </c>
      <c r="G28" s="327">
        <f t="shared" si="17"/>
        <v>1.3868914619966728</v>
      </c>
      <c r="H28" s="327">
        <f t="shared" si="17"/>
        <v>0.38923634182009903</v>
      </c>
      <c r="I28" s="327">
        <f t="shared" si="17"/>
        <v>0.35745082066387091</v>
      </c>
      <c r="J28" s="327">
        <f t="shared" si="17"/>
        <v>0.30565015573281462</v>
      </c>
      <c r="K28" s="327">
        <f t="shared" si="17"/>
        <v>0.26352867996956619</v>
      </c>
      <c r="L28" s="327">
        <f t="shared" si="17"/>
        <v>0.23359259563573498</v>
      </c>
      <c r="M28" s="327">
        <f t="shared" si="17"/>
        <v>0.21233328523663575</v>
      </c>
      <c r="N28" s="327">
        <f t="shared" si="17"/>
        <v>0.16296999234763998</v>
      </c>
      <c r="O28" s="85"/>
    </row>
    <row r="29" spans="1:15" x14ac:dyDescent="0.25">
      <c r="A29" s="3"/>
      <c r="C29" s="27"/>
      <c r="D29" s="27"/>
      <c r="E29" s="27"/>
      <c r="F29" s="27"/>
      <c r="G29" s="71"/>
      <c r="H29" s="71"/>
      <c r="I29" s="71"/>
      <c r="J29" s="71"/>
      <c r="K29" s="71"/>
      <c r="L29" s="71"/>
      <c r="M29" s="71"/>
      <c r="N29" s="71"/>
      <c r="O29" s="85"/>
    </row>
    <row r="30" spans="1:15" ht="18.75" x14ac:dyDescent="0.3">
      <c r="A30" s="159" t="s">
        <v>907</v>
      </c>
      <c r="O30"/>
    </row>
    <row r="31" spans="1:15" x14ac:dyDescent="0.25">
      <c r="A31" s="3" t="s">
        <v>732</v>
      </c>
      <c r="B31" t="s">
        <v>9</v>
      </c>
      <c r="C31" s="93">
        <v>7079</v>
      </c>
      <c r="D31" s="93">
        <v>12114</v>
      </c>
      <c r="E31" s="93">
        <v>20243</v>
      </c>
      <c r="F31" s="93">
        <v>54364</v>
      </c>
      <c r="G31" s="151">
        <f>G27-G33-G34</f>
        <v>130546.60204</v>
      </c>
      <c r="H31" s="151">
        <f t="shared" ref="H31:N31" si="18">H27-H33-H34</f>
        <v>181469.48782399998</v>
      </c>
      <c r="I31" s="151">
        <f t="shared" si="18"/>
        <v>246454.50294327998</v>
      </c>
      <c r="J31" s="151">
        <f t="shared" si="18"/>
        <v>321890.26672094397</v>
      </c>
      <c r="K31" s="151">
        <f t="shared" si="18"/>
        <v>406825.36460368003</v>
      </c>
      <c r="L31" s="151">
        <f t="shared" si="18"/>
        <v>501959.06929659995</v>
      </c>
      <c r="M31" s="151">
        <f t="shared" si="18"/>
        <v>608647.48749380012</v>
      </c>
      <c r="N31" s="151">
        <f t="shared" si="18"/>
        <v>707913.6048823701</v>
      </c>
      <c r="O31"/>
    </row>
    <row r="32" spans="1:15" s="75" customFormat="1" x14ac:dyDescent="0.25">
      <c r="A32" s="75" t="s">
        <v>96</v>
      </c>
      <c r="B32" s="75" t="s">
        <v>13</v>
      </c>
      <c r="C32" s="142"/>
      <c r="D32" s="289">
        <f>IFERROR(D31/C31-1,"")</f>
        <v>0.71125865235202723</v>
      </c>
      <c r="E32" s="289">
        <f t="shared" ref="E32:N32" si="19">IFERROR(E31/D31-1,"")</f>
        <v>0.67104176985306263</v>
      </c>
      <c r="F32" s="289">
        <f t="shared" si="19"/>
        <v>1.6855703206046533</v>
      </c>
      <c r="G32" s="289">
        <f t="shared" si="19"/>
        <v>1.4013428379074386</v>
      </c>
      <c r="H32" s="289">
        <f t="shared" si="19"/>
        <v>0.39007438714028742</v>
      </c>
      <c r="I32" s="289">
        <f t="shared" si="19"/>
        <v>0.35810436177737137</v>
      </c>
      <c r="J32" s="289">
        <f t="shared" si="19"/>
        <v>0.30608393385705379</v>
      </c>
      <c r="K32" s="289">
        <f t="shared" si="19"/>
        <v>0.26386351705492483</v>
      </c>
      <c r="L32" s="289">
        <f t="shared" si="19"/>
        <v>0.23384408389972688</v>
      </c>
      <c r="M32" s="289">
        <f t="shared" si="19"/>
        <v>0.21254405931285136</v>
      </c>
      <c r="N32" s="289">
        <f t="shared" si="19"/>
        <v>0.16309295516410249</v>
      </c>
    </row>
    <row r="33" spans="1:16" x14ac:dyDescent="0.25">
      <c r="A33" t="s">
        <v>908</v>
      </c>
      <c r="B33" t="s">
        <v>9</v>
      </c>
      <c r="C33" s="151">
        <f>C27-C31-C34</f>
        <v>1614</v>
      </c>
      <c r="D33" s="151">
        <f t="shared" ref="D33:F33" si="20">D27-D31-D34</f>
        <v>1431</v>
      </c>
      <c r="E33" s="151">
        <f t="shared" si="20"/>
        <v>1354</v>
      </c>
      <c r="F33" s="151">
        <f t="shared" si="20"/>
        <v>1539</v>
      </c>
      <c r="G33" s="151">
        <f>G16*G37</f>
        <v>2887.7913599999997</v>
      </c>
      <c r="H33" s="151">
        <f t="shared" ref="H33:N33" si="21">H16*H37</f>
        <v>3902.420736</v>
      </c>
      <c r="I33" s="151">
        <f t="shared" si="21"/>
        <v>5178.7464595199999</v>
      </c>
      <c r="J33" s="151">
        <f t="shared" si="21"/>
        <v>6654.7245493760001</v>
      </c>
      <c r="K33" s="151">
        <f t="shared" si="21"/>
        <v>8300.6545267199999</v>
      </c>
      <c r="L33" s="151">
        <f t="shared" si="21"/>
        <v>10137.3141584</v>
      </c>
      <c r="M33" s="151">
        <f t="shared" si="21"/>
        <v>12184.003418000002</v>
      </c>
      <c r="N33" s="151">
        <f t="shared" si="21"/>
        <v>14094.789352500002</v>
      </c>
      <c r="O33"/>
    </row>
    <row r="34" spans="1:16" x14ac:dyDescent="0.25">
      <c r="A34" t="s">
        <v>909</v>
      </c>
      <c r="B34" t="s">
        <v>9</v>
      </c>
      <c r="C34" s="190">
        <f>Assumptions!D95</f>
        <v>0</v>
      </c>
      <c r="D34" s="190">
        <f>Assumptions!E95</f>
        <v>0</v>
      </c>
      <c r="E34" s="190">
        <f>Assumptions!F95</f>
        <v>0</v>
      </c>
      <c r="F34" s="190">
        <f>Assumptions!G95</f>
        <v>0</v>
      </c>
      <c r="G34" s="190">
        <f>Assumptions!H95</f>
        <v>0</v>
      </c>
      <c r="H34" s="190">
        <f>Assumptions!I95</f>
        <v>0</v>
      </c>
      <c r="I34" s="190">
        <f>Assumptions!J95</f>
        <v>0</v>
      </c>
      <c r="J34" s="190">
        <f>Assumptions!K95</f>
        <v>0</v>
      </c>
      <c r="K34" s="190">
        <f>Assumptions!L95</f>
        <v>0</v>
      </c>
      <c r="L34" s="190">
        <f>Assumptions!M95</f>
        <v>0</v>
      </c>
      <c r="M34" s="190">
        <f>Assumptions!N95</f>
        <v>0</v>
      </c>
      <c r="N34" s="190">
        <f>Assumptions!O95</f>
        <v>0</v>
      </c>
      <c r="O34"/>
    </row>
    <row r="35" spans="1:16" x14ac:dyDescent="0.25">
      <c r="A35" s="3" t="s">
        <v>95</v>
      </c>
      <c r="B35" t="s">
        <v>9</v>
      </c>
      <c r="C35" s="151">
        <f>C31+C33+C34</f>
        <v>8693</v>
      </c>
      <c r="D35" s="151">
        <f t="shared" ref="D35:N35" si="22">D31+D33+D34</f>
        <v>13545</v>
      </c>
      <c r="E35" s="151">
        <f t="shared" si="22"/>
        <v>21597</v>
      </c>
      <c r="F35" s="151">
        <f t="shared" si="22"/>
        <v>55903</v>
      </c>
      <c r="G35" s="151">
        <f t="shared" si="22"/>
        <v>133434.3934</v>
      </c>
      <c r="H35" s="151">
        <f t="shared" si="22"/>
        <v>185371.90855999998</v>
      </c>
      <c r="I35" s="151">
        <f t="shared" si="22"/>
        <v>251633.24940279999</v>
      </c>
      <c r="J35" s="151">
        <f t="shared" si="22"/>
        <v>328544.99127031997</v>
      </c>
      <c r="K35" s="151">
        <f t="shared" si="22"/>
        <v>415126.01913040003</v>
      </c>
      <c r="L35" s="151">
        <f t="shared" si="22"/>
        <v>512096.38345499994</v>
      </c>
      <c r="M35" s="151">
        <f t="shared" si="22"/>
        <v>620831.49091180007</v>
      </c>
      <c r="N35" s="151">
        <f t="shared" si="22"/>
        <v>722008.39423487009</v>
      </c>
      <c r="O35"/>
    </row>
    <row r="36" spans="1:16" x14ac:dyDescent="0.25">
      <c r="A36" t="s">
        <v>910</v>
      </c>
      <c r="B36" t="s">
        <v>9</v>
      </c>
      <c r="C36" s="151">
        <f>IFERROR(ROUND(C35-C27,6),"n.a.")</f>
        <v>0</v>
      </c>
      <c r="D36" s="151">
        <f t="shared" ref="D36:N36" si="23">IFERROR(ROUND(D35-D27,6),"n.a.")</f>
        <v>0</v>
      </c>
      <c r="E36" s="151">
        <f t="shared" si="23"/>
        <v>0</v>
      </c>
      <c r="F36" s="151">
        <f t="shared" si="23"/>
        <v>0</v>
      </c>
      <c r="G36" s="151">
        <f t="shared" si="23"/>
        <v>0</v>
      </c>
      <c r="H36" s="151">
        <f t="shared" si="23"/>
        <v>0</v>
      </c>
      <c r="I36" s="151">
        <f t="shared" si="23"/>
        <v>0</v>
      </c>
      <c r="J36" s="151">
        <f t="shared" si="23"/>
        <v>0</v>
      </c>
      <c r="K36" s="151">
        <f t="shared" si="23"/>
        <v>0</v>
      </c>
      <c r="L36" s="151">
        <f t="shared" si="23"/>
        <v>0</v>
      </c>
      <c r="M36" s="151">
        <f t="shared" si="23"/>
        <v>0</v>
      </c>
      <c r="N36" s="151">
        <f t="shared" si="23"/>
        <v>0</v>
      </c>
      <c r="O36"/>
    </row>
    <row r="37" spans="1:16" s="75" customFormat="1" x14ac:dyDescent="0.25">
      <c r="A37" s="2" t="s">
        <v>788</v>
      </c>
      <c r="B37" s="75" t="s">
        <v>13</v>
      </c>
      <c r="C37" s="289">
        <f>IFERROR(C33/C16,"")</f>
        <v>5.7252314568479304E-2</v>
      </c>
      <c r="D37" s="289">
        <f t="shared" ref="D37:F37" si="24">IFERROR(D33/D16,"")</f>
        <v>3.4727952239965054E-2</v>
      </c>
      <c r="E37" s="289">
        <f t="shared" si="24"/>
        <v>2.1890965530621483E-2</v>
      </c>
      <c r="F37" s="289">
        <f t="shared" si="24"/>
        <v>1.6037932471863275E-2</v>
      </c>
      <c r="G37" s="328">
        <f>Assumptions!H76</f>
        <v>1.6E-2</v>
      </c>
      <c r="H37" s="328">
        <f>Assumptions!I76</f>
        <v>1.6E-2</v>
      </c>
      <c r="I37" s="328">
        <f>Assumptions!J76</f>
        <v>1.6E-2</v>
      </c>
      <c r="J37" s="328">
        <f>Assumptions!K76</f>
        <v>1.6E-2</v>
      </c>
      <c r="K37" s="328">
        <f>Assumptions!L76</f>
        <v>1.6E-2</v>
      </c>
      <c r="L37" s="328">
        <f>Assumptions!M76</f>
        <v>1.6E-2</v>
      </c>
      <c r="M37" s="328">
        <f>Assumptions!N76</f>
        <v>1.6E-2</v>
      </c>
      <c r="N37" s="328">
        <f>Assumptions!O76</f>
        <v>1.6E-2</v>
      </c>
    </row>
    <row r="38" spans="1:16" x14ac:dyDescent="0.25">
      <c r="O38"/>
    </row>
    <row r="39" spans="1:16" x14ac:dyDescent="0.25">
      <c r="A39" s="3"/>
      <c r="C39" s="27"/>
      <c r="D39" s="27"/>
      <c r="E39" s="27"/>
      <c r="F39" s="27"/>
      <c r="G39" s="71"/>
      <c r="H39" s="71"/>
      <c r="I39" s="71"/>
      <c r="J39" s="71"/>
      <c r="K39" s="71"/>
      <c r="L39" s="71"/>
      <c r="M39" s="71"/>
      <c r="N39" s="71"/>
      <c r="O39" s="85"/>
    </row>
    <row r="40" spans="1:16" x14ac:dyDescent="0.25">
      <c r="A40" s="3"/>
      <c r="C40" s="27"/>
      <c r="D40" s="27"/>
      <c r="E40" s="27"/>
      <c r="F40" s="27"/>
      <c r="G40" s="71"/>
      <c r="H40" s="71"/>
      <c r="I40" s="71"/>
      <c r="J40" s="71"/>
      <c r="K40" s="71"/>
      <c r="L40" s="71"/>
      <c r="M40" s="71"/>
      <c r="N40" s="71"/>
      <c r="O40" s="85"/>
    </row>
    <row r="41" spans="1:16" ht="23.25" x14ac:dyDescent="0.35">
      <c r="A41" s="146" t="s">
        <v>34</v>
      </c>
      <c r="O41" s="83"/>
      <c r="P41" s="78" t="str">
        <f>Data_Sources!$D$11&amp;" | "&amp;Data_Sources!$E$11&amp;" | "&amp;Data_Sources!$F$11</f>
        <v>Eternal Q4FY26 shareholders' letter | Annexure A — NOV (B2C business) | https://b.zmtcdn.com/investor-relations/Eternal_Shareholders_Letter_Q4FY26_Results.pdf</v>
      </c>
    </row>
    <row r="42" spans="1:16" x14ac:dyDescent="0.25">
      <c r="A42" s="3" t="s">
        <v>77</v>
      </c>
      <c r="B42" t="s">
        <v>9</v>
      </c>
      <c r="C42" s="254">
        <v>22501</v>
      </c>
      <c r="D42" s="254">
        <v>27478</v>
      </c>
      <c r="E42" s="254">
        <v>32862</v>
      </c>
      <c r="F42" s="254">
        <v>37993</v>
      </c>
      <c r="G42" s="292">
        <f>G45*G48</f>
        <v>44994.96</v>
      </c>
      <c r="H42" s="292">
        <f t="shared" ref="H42:N42" si="25">H45*H48</f>
        <v>53302.200000000004</v>
      </c>
      <c r="I42" s="292">
        <f t="shared" si="25"/>
        <v>63118.71</v>
      </c>
      <c r="J42" s="292">
        <f t="shared" si="25"/>
        <v>74745.919999999998</v>
      </c>
      <c r="K42" s="292">
        <f t="shared" si="25"/>
        <v>87781.439999999988</v>
      </c>
      <c r="L42" s="292">
        <f t="shared" si="25"/>
        <v>103062</v>
      </c>
      <c r="M42" s="292">
        <f t="shared" si="25"/>
        <v>121040.27</v>
      </c>
      <c r="N42" s="292">
        <f t="shared" si="25"/>
        <v>142112.87999999998</v>
      </c>
      <c r="O42" s="85"/>
    </row>
    <row r="43" spans="1:16" s="61" customFormat="1" x14ac:dyDescent="0.25">
      <c r="A43" s="75" t="s">
        <v>78</v>
      </c>
      <c r="B43" t="s">
        <v>13</v>
      </c>
      <c r="C43" s="110"/>
      <c r="D43" s="290">
        <f>D42/C42-1</f>
        <v>0.22119016932580782</v>
      </c>
      <c r="E43" s="290">
        <f t="shared" ref="E43" si="26">E42/D42-1</f>
        <v>0.19593856903704787</v>
      </c>
      <c r="F43" s="290">
        <f>F42/E42-1</f>
        <v>0.15613778832694303</v>
      </c>
      <c r="G43" s="290">
        <f>G42/F42-1</f>
        <v>0.18429605453636189</v>
      </c>
      <c r="H43" s="290">
        <f t="shared" ref="H43:N43" si="27">H42/G42-1</f>
        <v>0.18462601144661539</v>
      </c>
      <c r="I43" s="290">
        <f t="shared" si="27"/>
        <v>0.18416707002712829</v>
      </c>
      <c r="J43" s="290">
        <f t="shared" si="27"/>
        <v>0.18421178126105553</v>
      </c>
      <c r="K43" s="290">
        <f t="shared" si="27"/>
        <v>0.17439774639204364</v>
      </c>
      <c r="L43" s="290">
        <f t="shared" si="27"/>
        <v>0.17407506643773463</v>
      </c>
      <c r="M43" s="290">
        <f t="shared" si="27"/>
        <v>0.17444130717432227</v>
      </c>
      <c r="N43" s="290">
        <f t="shared" si="27"/>
        <v>0.17409586082383965</v>
      </c>
      <c r="O43" s="86"/>
    </row>
    <row r="44" spans="1:16" s="61" customFormat="1" x14ac:dyDescent="0.25">
      <c r="A44" s="75"/>
      <c r="B44"/>
      <c r="C44" s="110"/>
      <c r="D44" s="110"/>
      <c r="E44" s="110"/>
      <c r="F44" s="110"/>
      <c r="G44" s="117"/>
      <c r="H44" s="117"/>
      <c r="I44" s="117"/>
      <c r="J44" s="117"/>
      <c r="K44" s="117"/>
      <c r="L44" s="117"/>
      <c r="M44" s="117"/>
      <c r="N44" s="117"/>
      <c r="O44" s="86"/>
    </row>
    <row r="45" spans="1:16" s="61" customFormat="1" x14ac:dyDescent="0.25">
      <c r="A45" t="s">
        <v>713</v>
      </c>
      <c r="B45" t="s">
        <v>729</v>
      </c>
      <c r="C45" s="288">
        <f>647/10</f>
        <v>64.7</v>
      </c>
      <c r="D45" s="288">
        <f>753.2/10</f>
        <v>75.320000000000007</v>
      </c>
      <c r="E45" s="288">
        <f>852.8/10</f>
        <v>85.28</v>
      </c>
      <c r="F45" s="288">
        <f>979.3/10</f>
        <v>97.929999999999993</v>
      </c>
      <c r="G45" s="287">
        <f>IFERROR(Assumptions!H8,"")</f>
        <v>112.6</v>
      </c>
      <c r="H45" s="287">
        <f>IFERROR(Assumptions!I8,"")</f>
        <v>129.5</v>
      </c>
      <c r="I45" s="287">
        <f>IFERROR(Assumptions!J8,"")</f>
        <v>148.9</v>
      </c>
      <c r="J45" s="287">
        <f>IFERROR(Assumptions!K8,"")</f>
        <v>171.2</v>
      </c>
      <c r="K45" s="287">
        <f>IFERROR(Assumptions!L8,"")</f>
        <v>195.2</v>
      </c>
      <c r="L45" s="287">
        <f>IFERROR(Assumptions!M8,"")</f>
        <v>222.5</v>
      </c>
      <c r="M45" s="287">
        <f>IFERROR(Assumptions!N8,"")</f>
        <v>253.7</v>
      </c>
      <c r="N45" s="287">
        <f>IFERROR(Assumptions!O8,"")</f>
        <v>289.2</v>
      </c>
      <c r="O45" s="224" t="s">
        <v>890</v>
      </c>
    </row>
    <row r="46" spans="1:16" s="72" customFormat="1" x14ac:dyDescent="0.25">
      <c r="A46" s="112" t="s">
        <v>731</v>
      </c>
      <c r="B46" s="184" t="s">
        <v>729</v>
      </c>
      <c r="C46" s="112"/>
      <c r="D46" s="327">
        <f>D45/C45-1</f>
        <v>0.16414219474497682</v>
      </c>
      <c r="E46" s="327">
        <f t="shared" ref="E46:F46" si="28">E45/D45-1</f>
        <v>0.13223579394583096</v>
      </c>
      <c r="F46" s="327">
        <f t="shared" si="28"/>
        <v>0.14833489681050649</v>
      </c>
      <c r="G46" s="329">
        <f>IFERROR(Assumptions!H9,"")</f>
        <v>0.15</v>
      </c>
      <c r="H46" s="329">
        <f>IFERROR(Assumptions!I9,"")</f>
        <v>0.15</v>
      </c>
      <c r="I46" s="329">
        <f>IFERROR(Assumptions!J9,"")</f>
        <v>0.15</v>
      </c>
      <c r="J46" s="329">
        <f>IFERROR(Assumptions!K9,"")</f>
        <v>0.15</v>
      </c>
      <c r="K46" s="329">
        <f>IFERROR(Assumptions!L9,"")</f>
        <v>0.14000000000000001</v>
      </c>
      <c r="L46" s="329">
        <f>IFERROR(Assumptions!M9,"")</f>
        <v>0.14000000000000001</v>
      </c>
      <c r="M46" s="329">
        <f>IFERROR(Assumptions!N9,"")</f>
        <v>0.14000000000000001</v>
      </c>
      <c r="N46" s="329">
        <f>IFERROR(Assumptions!O9,"")</f>
        <v>0.14000000000000001</v>
      </c>
      <c r="O46" s="88"/>
    </row>
    <row r="47" spans="1:16" s="72" customFormat="1" x14ac:dyDescent="0.25">
      <c r="A47" s="112"/>
      <c r="B47" s="184"/>
      <c r="C47" s="112"/>
      <c r="D47" s="112"/>
      <c r="E47" s="112"/>
      <c r="F47" s="112"/>
      <c r="G47" s="118"/>
      <c r="H47" s="118"/>
      <c r="I47" s="118"/>
      <c r="J47" s="118"/>
      <c r="K47" s="118"/>
      <c r="L47" s="118"/>
      <c r="M47" s="118"/>
      <c r="N47" s="118"/>
      <c r="O47" s="88"/>
    </row>
    <row r="48" spans="1:16" s="61" customFormat="1" x14ac:dyDescent="0.25">
      <c r="A48" t="s">
        <v>463</v>
      </c>
      <c r="B48" t="s">
        <v>18</v>
      </c>
      <c r="C48" s="288">
        <f>IFERROR(C42/C45,"")</f>
        <v>347.77434312210198</v>
      </c>
      <c r="D48" s="288">
        <f>IFERROR(D42/D45,"")</f>
        <v>364.81678173127983</v>
      </c>
      <c r="E48" s="288">
        <f>IFERROR(E42/E45,"")</f>
        <v>385.34240150093808</v>
      </c>
      <c r="F48" s="288">
        <f>IFERROR(F42/F45,"")</f>
        <v>387.96078831818647</v>
      </c>
      <c r="G48" s="287">
        <f>IFERROR(Assumptions!H11,"")</f>
        <v>399.6</v>
      </c>
      <c r="H48" s="287">
        <f>IFERROR(Assumptions!I11,"")</f>
        <v>411.6</v>
      </c>
      <c r="I48" s="287">
        <f>IFERROR(Assumptions!J11,"")</f>
        <v>423.9</v>
      </c>
      <c r="J48" s="287">
        <f>IFERROR(Assumptions!K11,"")</f>
        <v>436.6</v>
      </c>
      <c r="K48" s="287">
        <f>IFERROR(Assumptions!L11,"")</f>
        <v>449.7</v>
      </c>
      <c r="L48" s="287">
        <f>IFERROR(Assumptions!M11,"")</f>
        <v>463.2</v>
      </c>
      <c r="M48" s="287">
        <f>IFERROR(Assumptions!N11,"")</f>
        <v>477.1</v>
      </c>
      <c r="N48" s="287">
        <f>IFERROR(Assumptions!O11,"")</f>
        <v>491.4</v>
      </c>
      <c r="O48" s="224" t="s">
        <v>1396</v>
      </c>
    </row>
    <row r="49" spans="1:16" s="61" customFormat="1" x14ac:dyDescent="0.25">
      <c r="A49" s="75" t="s">
        <v>730</v>
      </c>
      <c r="B49"/>
      <c r="C49" s="113"/>
      <c r="D49" s="330">
        <f>D48/C48-1</f>
        <v>4.9004301053900079E-2</v>
      </c>
      <c r="E49" s="330">
        <f t="shared" ref="E49:N49" si="29">E48/D48-1</f>
        <v>5.626281683712997E-2</v>
      </c>
      <c r="F49" s="330">
        <f t="shared" si="29"/>
        <v>6.7949615901328198E-3</v>
      </c>
      <c r="G49" s="330">
        <f t="shared" si="29"/>
        <v>3.0001000184244564E-2</v>
      </c>
      <c r="H49" s="330">
        <f t="shared" si="29"/>
        <v>3.0030030030030019E-2</v>
      </c>
      <c r="I49" s="330">
        <f t="shared" si="29"/>
        <v>2.9883381924198149E-2</v>
      </c>
      <c r="J49" s="330">
        <f t="shared" si="29"/>
        <v>2.9959896201934511E-2</v>
      </c>
      <c r="K49" s="330">
        <f t="shared" si="29"/>
        <v>3.0004580852038387E-2</v>
      </c>
      <c r="L49" s="330">
        <f t="shared" si="29"/>
        <v>3.0020013342228147E-2</v>
      </c>
      <c r="M49" s="330">
        <f t="shared" si="29"/>
        <v>3.0008635578583798E-2</v>
      </c>
      <c r="N49" s="330">
        <f t="shared" si="29"/>
        <v>2.9972752043596618E-2</v>
      </c>
      <c r="O49" s="86"/>
    </row>
    <row r="50" spans="1:16" s="61" customFormat="1" x14ac:dyDescent="0.25">
      <c r="A50" s="75"/>
      <c r="B50"/>
      <c r="C50" s="113"/>
      <c r="D50" s="114"/>
      <c r="E50" s="114"/>
      <c r="F50" s="114"/>
      <c r="G50" s="119"/>
      <c r="H50" s="119"/>
      <c r="I50" s="119"/>
      <c r="J50" s="119"/>
      <c r="K50" s="119"/>
      <c r="L50" s="119"/>
      <c r="M50" s="119"/>
      <c r="N50" s="119"/>
      <c r="O50" s="86"/>
    </row>
    <row r="51" spans="1:16" x14ac:dyDescent="0.25">
      <c r="A51" t="s">
        <v>79</v>
      </c>
      <c r="B51" t="s">
        <v>9</v>
      </c>
      <c r="C51" s="9">
        <v>6147</v>
      </c>
      <c r="D51" s="9">
        <v>7792</v>
      </c>
      <c r="E51" s="9">
        <v>9418</v>
      </c>
      <c r="F51" s="188">
        <v>11698</v>
      </c>
      <c r="G51" s="268">
        <f>G42*Assumptions!H13</f>
        <v>14173.412399999999</v>
      </c>
      <c r="H51" s="268">
        <f>H42*Assumptions!I13</f>
        <v>17056.704000000002</v>
      </c>
      <c r="I51" s="268">
        <f>I42*Assumptions!J13</f>
        <v>20513.580750000001</v>
      </c>
      <c r="J51" s="268">
        <f>J42*Assumptions!K13</f>
        <v>24666.153600000001</v>
      </c>
      <c r="K51" s="268">
        <f>K42*Assumptions!L13</f>
        <v>28967.875199999999</v>
      </c>
      <c r="L51" s="268">
        <f>L42*Assumptions!M13</f>
        <v>34010.46</v>
      </c>
      <c r="M51" s="268">
        <f>M42*Assumptions!N13</f>
        <v>39943.289100000002</v>
      </c>
      <c r="N51" s="268">
        <f>N42*Assumptions!O13</f>
        <v>46897.250399999997</v>
      </c>
      <c r="O51" s="83"/>
    </row>
    <row r="52" spans="1:16" s="61" customFormat="1" x14ac:dyDescent="0.25">
      <c r="A52" s="75" t="s">
        <v>80</v>
      </c>
      <c r="B52" t="s">
        <v>13</v>
      </c>
      <c r="C52" s="290">
        <f t="shared" ref="C52:N52" si="30">C51/C42</f>
        <v>0.27318785831740811</v>
      </c>
      <c r="D52" s="290">
        <f t="shared" si="30"/>
        <v>0.28357231239537084</v>
      </c>
      <c r="E52" s="290">
        <f t="shared" si="30"/>
        <v>0.28659241677317265</v>
      </c>
      <c r="F52" s="290">
        <f t="shared" si="30"/>
        <v>0.30789882346748088</v>
      </c>
      <c r="G52" s="290">
        <f t="shared" si="30"/>
        <v>0.315</v>
      </c>
      <c r="H52" s="290">
        <f t="shared" si="30"/>
        <v>0.32</v>
      </c>
      <c r="I52" s="290">
        <f t="shared" si="30"/>
        <v>0.32500000000000001</v>
      </c>
      <c r="J52" s="290">
        <f t="shared" si="30"/>
        <v>0.33</v>
      </c>
      <c r="K52" s="290">
        <f t="shared" si="30"/>
        <v>0.33</v>
      </c>
      <c r="L52" s="290">
        <f t="shared" si="30"/>
        <v>0.33</v>
      </c>
      <c r="M52" s="290">
        <f t="shared" si="30"/>
        <v>0.33</v>
      </c>
      <c r="N52" s="290">
        <f t="shared" si="30"/>
        <v>0.33</v>
      </c>
      <c r="O52" s="86"/>
    </row>
    <row r="53" spans="1:16" s="61" customFormat="1" x14ac:dyDescent="0.25">
      <c r="A53"/>
      <c r="B53"/>
      <c r="C53" s="115"/>
      <c r="D53" s="115"/>
      <c r="E53" s="115"/>
      <c r="F53" s="115"/>
      <c r="G53" s="120"/>
      <c r="H53" s="120"/>
      <c r="I53" s="120"/>
      <c r="J53" s="120"/>
      <c r="K53" s="120"/>
      <c r="L53" s="120"/>
      <c r="M53" s="120"/>
      <c r="N53" s="120"/>
      <c r="O53" s="92"/>
    </row>
    <row r="54" spans="1:16" x14ac:dyDescent="0.25">
      <c r="G54" s="70"/>
      <c r="H54" s="70"/>
      <c r="I54" s="70"/>
      <c r="J54" s="70"/>
      <c r="K54" s="70"/>
      <c r="L54" s="70"/>
      <c r="M54" s="70"/>
      <c r="N54" s="70"/>
      <c r="O54" s="83"/>
    </row>
    <row r="55" spans="1:16" ht="23.25" x14ac:dyDescent="0.35">
      <c r="A55" s="146" t="s">
        <v>39</v>
      </c>
      <c r="G55" s="70"/>
      <c r="H55" s="70"/>
      <c r="I55" s="70"/>
      <c r="J55" s="70"/>
      <c r="K55" s="70"/>
      <c r="L55" s="70"/>
      <c r="M55" s="70"/>
      <c r="N55" s="70"/>
      <c r="O55" s="83"/>
      <c r="P55" s="78" t="str">
        <f>Data_Sources!$D$12&amp;" | "&amp;Data_Sources!$E$12&amp;" | "&amp;Data_Sources!$F$12</f>
        <v>Eternal Q4FY26 shareholders' letter | Annexure A — quick commerce financial and operating metrics | https://b.zmtcdn.com/investor-relations/Eternal_Shareholders_Letter_Q4FY26_Results.pdf</v>
      </c>
    </row>
    <row r="56" spans="1:16" x14ac:dyDescent="0.25">
      <c r="A56" s="3" t="s">
        <v>77</v>
      </c>
      <c r="B56" t="s">
        <v>9</v>
      </c>
      <c r="C56" s="19">
        <v>5690</v>
      </c>
      <c r="D56" s="19">
        <v>10503</v>
      </c>
      <c r="E56" s="19">
        <v>22371</v>
      </c>
      <c r="F56" s="19">
        <v>48568</v>
      </c>
      <c r="G56" s="331">
        <f t="shared" ref="G56:N56" si="31">G63*G66*365/10000</f>
        <v>122333.4</v>
      </c>
      <c r="H56" s="331">
        <f t="shared" si="31"/>
        <v>172703.4</v>
      </c>
      <c r="I56" s="331">
        <f t="shared" si="31"/>
        <v>236930.625</v>
      </c>
      <c r="J56" s="331">
        <f t="shared" si="31"/>
        <v>310465.34999999998</v>
      </c>
      <c r="K56" s="331">
        <f t="shared" si="31"/>
        <v>392623.2</v>
      </c>
      <c r="L56" s="331">
        <f t="shared" si="31"/>
        <v>482537.3</v>
      </c>
      <c r="M56" s="331">
        <f t="shared" si="31"/>
        <v>580481.4</v>
      </c>
      <c r="N56" s="331">
        <f t="shared" si="31"/>
        <v>663838.27500000002</v>
      </c>
      <c r="O56" s="224" t="s">
        <v>1397</v>
      </c>
    </row>
    <row r="57" spans="1:16" s="61" customFormat="1" x14ac:dyDescent="0.25">
      <c r="A57" s="75" t="s">
        <v>78</v>
      </c>
      <c r="B57" t="s">
        <v>13</v>
      </c>
      <c r="C57" s="110"/>
      <c r="D57" s="290">
        <f t="shared" ref="D57:N57" si="32">D56/C56-1</f>
        <v>0.84586994727592257</v>
      </c>
      <c r="E57" s="290">
        <f t="shared" si="32"/>
        <v>1.129962867752071</v>
      </c>
      <c r="F57" s="290">
        <f t="shared" si="32"/>
        <v>1.1710249877072996</v>
      </c>
      <c r="G57" s="290">
        <f t="shared" si="32"/>
        <v>1.5188066216438805</v>
      </c>
      <c r="H57" s="290">
        <f t="shared" si="32"/>
        <v>0.41174364482635162</v>
      </c>
      <c r="I57" s="290">
        <f t="shared" si="32"/>
        <v>0.37189322850621354</v>
      </c>
      <c r="J57" s="290">
        <f t="shared" si="32"/>
        <v>0.31036395147313689</v>
      </c>
      <c r="K57" s="290">
        <f t="shared" si="32"/>
        <v>0.26462808168447793</v>
      </c>
      <c r="L57" s="290">
        <f t="shared" si="32"/>
        <v>0.22900862710099656</v>
      </c>
      <c r="M57" s="290">
        <f t="shared" si="32"/>
        <v>0.20297726206865252</v>
      </c>
      <c r="N57" s="290">
        <f t="shared" si="32"/>
        <v>0.14359956236323845</v>
      </c>
      <c r="O57" s="86"/>
    </row>
    <row r="58" spans="1:16" x14ac:dyDescent="0.25">
      <c r="A58" t="s">
        <v>749</v>
      </c>
      <c r="B58" t="s">
        <v>9</v>
      </c>
      <c r="C58" s="19">
        <v>6449</v>
      </c>
      <c r="D58" s="19">
        <v>12469</v>
      </c>
      <c r="E58" s="20"/>
      <c r="F58" s="20"/>
      <c r="G58" s="81"/>
      <c r="H58" s="81"/>
      <c r="I58" s="81"/>
      <c r="J58" s="81"/>
      <c r="K58" s="81"/>
      <c r="L58" s="81"/>
      <c r="M58" s="81"/>
      <c r="N58" s="81"/>
      <c r="O58" s="224" t="s">
        <v>1398</v>
      </c>
    </row>
    <row r="59" spans="1:16" x14ac:dyDescent="0.25">
      <c r="B59" s="80"/>
      <c r="C59" s="37"/>
      <c r="D59" s="37"/>
      <c r="E59" s="37"/>
      <c r="F59" s="37"/>
      <c r="G59" s="79"/>
      <c r="H59" s="79"/>
      <c r="I59" s="79"/>
      <c r="J59" s="79"/>
      <c r="K59" s="79"/>
      <c r="L59" s="79"/>
      <c r="M59" s="79"/>
      <c r="N59" s="79"/>
      <c r="O59" s="83"/>
    </row>
    <row r="60" spans="1:16" x14ac:dyDescent="0.25">
      <c r="A60" t="s">
        <v>81</v>
      </c>
      <c r="B60" t="s">
        <v>16</v>
      </c>
      <c r="C60" s="9">
        <v>377</v>
      </c>
      <c r="D60" s="9">
        <v>526</v>
      </c>
      <c r="E60" s="254">
        <v>1301</v>
      </c>
      <c r="F60" s="254">
        <v>2243</v>
      </c>
      <c r="G60" s="59">
        <f>Assumptions!H16</f>
        <v>3343</v>
      </c>
      <c r="H60" s="59">
        <f>Assumptions!I16</f>
        <v>4543</v>
      </c>
      <c r="I60" s="59">
        <f>Assumptions!J16</f>
        <v>5843</v>
      </c>
      <c r="J60" s="59">
        <f>Assumptions!K16</f>
        <v>7243</v>
      </c>
      <c r="K60" s="59">
        <f>Assumptions!L16</f>
        <v>8693</v>
      </c>
      <c r="L60" s="59">
        <f>Assumptions!M16</f>
        <v>10193</v>
      </c>
      <c r="M60" s="59">
        <f>Assumptions!N16</f>
        <v>11743</v>
      </c>
      <c r="N60" s="59">
        <f>Assumptions!O16</f>
        <v>13343</v>
      </c>
      <c r="O60" s="224" t="s">
        <v>1399</v>
      </c>
    </row>
    <row r="61" spans="1:16" x14ac:dyDescent="0.25">
      <c r="A61" s="75" t="s">
        <v>889</v>
      </c>
      <c r="D61" s="296">
        <f>D60/C60-1</f>
        <v>0.39522546419098137</v>
      </c>
      <c r="E61" s="296">
        <f t="shared" ref="E61:N61" si="33">E60/D60-1</f>
        <v>1.4733840304182508</v>
      </c>
      <c r="F61" s="296">
        <f t="shared" si="33"/>
        <v>0.72405841660261339</v>
      </c>
      <c r="G61" s="296">
        <f t="shared" si="33"/>
        <v>0.49041462327240293</v>
      </c>
      <c r="H61" s="296">
        <f t="shared" si="33"/>
        <v>0.35895901884534842</v>
      </c>
      <c r="I61" s="296">
        <f t="shared" si="33"/>
        <v>0.28615452344265901</v>
      </c>
      <c r="J61" s="296">
        <f t="shared" si="33"/>
        <v>0.23960294369330826</v>
      </c>
      <c r="K61" s="296">
        <f t="shared" si="33"/>
        <v>0.20019329007317399</v>
      </c>
      <c r="L61" s="296">
        <f t="shared" si="33"/>
        <v>0.17255262855170828</v>
      </c>
      <c r="M61" s="296">
        <f t="shared" si="33"/>
        <v>0.15206514274502103</v>
      </c>
      <c r="N61" s="296">
        <f t="shared" si="33"/>
        <v>0.13625138380311674</v>
      </c>
      <c r="O61" s="85"/>
    </row>
    <row r="62" spans="1:16" x14ac:dyDescent="0.25">
      <c r="E62" s="18"/>
      <c r="F62" s="18"/>
      <c r="G62" s="68"/>
      <c r="H62" s="68"/>
      <c r="I62" s="68"/>
      <c r="J62" s="68"/>
      <c r="K62" s="68"/>
      <c r="L62" s="68"/>
      <c r="M62" s="68"/>
      <c r="N62" s="68"/>
      <c r="O62" s="85"/>
    </row>
    <row r="63" spans="1:16" x14ac:dyDescent="0.25">
      <c r="A63" t="s">
        <v>82</v>
      </c>
      <c r="B63" t="s">
        <v>16</v>
      </c>
      <c r="D63" s="80">
        <f>(C60+D60)/2</f>
        <v>451.5</v>
      </c>
      <c r="E63" s="292">
        <f>(D60+E60)/2</f>
        <v>913.5</v>
      </c>
      <c r="F63" s="292">
        <f>(E60+F60)/2</f>
        <v>1772</v>
      </c>
      <c r="G63" s="292">
        <f>(F60+G60)/2</f>
        <v>2793</v>
      </c>
      <c r="H63" s="292">
        <f t="shared" ref="H63:N63" si="34">(G60+H60)/2</f>
        <v>3943</v>
      </c>
      <c r="I63" s="292">
        <f t="shared" si="34"/>
        <v>5193</v>
      </c>
      <c r="J63" s="292">
        <f t="shared" si="34"/>
        <v>6543</v>
      </c>
      <c r="K63" s="292">
        <f t="shared" si="34"/>
        <v>7968</v>
      </c>
      <c r="L63" s="292">
        <f t="shared" si="34"/>
        <v>9443</v>
      </c>
      <c r="M63" s="292">
        <f t="shared" si="34"/>
        <v>10968</v>
      </c>
      <c r="N63" s="292">
        <f t="shared" si="34"/>
        <v>12543</v>
      </c>
      <c r="O63" s="83"/>
    </row>
    <row r="64" spans="1:16" s="61" customFormat="1" x14ac:dyDescent="0.25">
      <c r="A64" s="75" t="s">
        <v>887</v>
      </c>
      <c r="E64" s="332">
        <f>E63/D63-1</f>
        <v>1.0232558139534884</v>
      </c>
      <c r="F64" s="332">
        <f t="shared" ref="F64:N64" si="35">F63/E63-1</f>
        <v>0.939792008757526</v>
      </c>
      <c r="G64" s="332">
        <f t="shared" si="35"/>
        <v>0.57618510158013536</v>
      </c>
      <c r="H64" s="332">
        <f t="shared" si="35"/>
        <v>0.41174364482635162</v>
      </c>
      <c r="I64" s="332">
        <f t="shared" si="35"/>
        <v>0.31701749936596491</v>
      </c>
      <c r="J64" s="332">
        <f t="shared" si="35"/>
        <v>0.25996533795493937</v>
      </c>
      <c r="K64" s="332">
        <f t="shared" si="35"/>
        <v>0.21779000458505271</v>
      </c>
      <c r="L64" s="332">
        <f t="shared" si="35"/>
        <v>0.18511546184738958</v>
      </c>
      <c r="M64" s="332">
        <f t="shared" si="35"/>
        <v>0.16149528751456099</v>
      </c>
      <c r="N64" s="332">
        <f t="shared" si="35"/>
        <v>0.14359956236323845</v>
      </c>
      <c r="O64" s="86"/>
    </row>
    <row r="65" spans="1:16" s="61" customFormat="1" x14ac:dyDescent="0.25">
      <c r="A65" s="75"/>
      <c r="E65" s="130"/>
      <c r="F65" s="134"/>
      <c r="G65" s="131"/>
      <c r="H65" s="131"/>
      <c r="I65" s="131"/>
      <c r="J65" s="131"/>
      <c r="K65" s="131"/>
      <c r="L65" s="131"/>
      <c r="M65" s="131"/>
      <c r="N65" s="131"/>
      <c r="O65" s="86"/>
    </row>
    <row r="66" spans="1:16" x14ac:dyDescent="0.25">
      <c r="A66" t="s">
        <v>42</v>
      </c>
      <c r="B66" t="s">
        <v>43</v>
      </c>
      <c r="D66" s="93">
        <v>672</v>
      </c>
      <c r="E66" s="9">
        <v>766</v>
      </c>
      <c r="F66" s="9">
        <v>756</v>
      </c>
      <c r="G66" s="78">
        <f>Assumptions!H20</f>
        <v>1200</v>
      </c>
      <c r="H66" s="78">
        <f>Assumptions!I20</f>
        <v>1200</v>
      </c>
      <c r="I66" s="78">
        <f>Assumptions!J20</f>
        <v>1250</v>
      </c>
      <c r="J66" s="78">
        <f>Assumptions!K20</f>
        <v>1300</v>
      </c>
      <c r="K66" s="78">
        <f>Assumptions!L20</f>
        <v>1350</v>
      </c>
      <c r="L66" s="78">
        <f>Assumptions!M20</f>
        <v>1400</v>
      </c>
      <c r="M66" s="78">
        <f>Assumptions!N20</f>
        <v>1450</v>
      </c>
      <c r="N66" s="78">
        <f>Assumptions!O20</f>
        <v>1450</v>
      </c>
      <c r="O66" s="83"/>
    </row>
    <row r="67" spans="1:16" s="75" customFormat="1" x14ac:dyDescent="0.25">
      <c r="A67" s="75" t="s">
        <v>888</v>
      </c>
      <c r="D67" s="108"/>
      <c r="E67" s="296">
        <f>E66/D66-1</f>
        <v>0.13988095238095233</v>
      </c>
      <c r="F67" s="296">
        <f t="shared" ref="F67:G67" si="36">F66/E66-1</f>
        <v>-1.3054830287206221E-2</v>
      </c>
      <c r="G67" s="296">
        <f t="shared" si="36"/>
        <v>0.58730158730158721</v>
      </c>
      <c r="H67" s="296">
        <f t="shared" ref="H67" si="37">H66/G66-1</f>
        <v>0</v>
      </c>
      <c r="I67" s="296">
        <f t="shared" ref="I67" si="38">I66/H66-1</f>
        <v>4.1666666666666741E-2</v>
      </c>
      <c r="J67" s="296">
        <f t="shared" ref="J67" si="39">J66/I66-1</f>
        <v>4.0000000000000036E-2</v>
      </c>
      <c r="K67" s="296">
        <f t="shared" ref="K67" si="40">K66/J66-1</f>
        <v>3.8461538461538547E-2</v>
      </c>
      <c r="L67" s="296">
        <f t="shared" ref="L67" si="41">L66/K66-1</f>
        <v>3.7037037037036979E-2</v>
      </c>
      <c r="M67" s="296">
        <f t="shared" ref="M67" si="42">M66/L66-1</f>
        <v>3.5714285714285809E-2</v>
      </c>
      <c r="N67" s="296">
        <f t="shared" ref="N67" si="43">N66/M66-1</f>
        <v>0</v>
      </c>
      <c r="O67" s="133"/>
    </row>
    <row r="68" spans="1:16" x14ac:dyDescent="0.25">
      <c r="A68" t="s">
        <v>79</v>
      </c>
      <c r="B68" t="s">
        <v>9</v>
      </c>
      <c r="C68" s="19">
        <v>806</v>
      </c>
      <c r="D68" s="19">
        <v>2302</v>
      </c>
      <c r="E68" s="19">
        <v>5206</v>
      </c>
      <c r="F68" s="19">
        <v>37779</v>
      </c>
      <c r="G68" s="64">
        <f>G56*Assumptions!H33</f>
        <v>112546.728</v>
      </c>
      <c r="H68" s="64">
        <f>H56*Assumptions!I33</f>
        <v>158887.128</v>
      </c>
      <c r="I68" s="64">
        <f>I56*Assumptions!J33</f>
        <v>217976.17500000002</v>
      </c>
      <c r="J68" s="64">
        <f>J56*Assumptions!K33</f>
        <v>285628.12199999997</v>
      </c>
      <c r="K68" s="64">
        <f>K56*Assumptions!L33</f>
        <v>361213.34400000004</v>
      </c>
      <c r="L68" s="64">
        <f>L56*Assumptions!M33</f>
        <v>443934.31599999999</v>
      </c>
      <c r="M68" s="64">
        <f>M56*Assumptions!N33</f>
        <v>534042.88800000004</v>
      </c>
      <c r="N68" s="64">
        <f>N56*Assumptions!O33</f>
        <v>610731.21300000011</v>
      </c>
      <c r="O68" s="224" t="s">
        <v>752</v>
      </c>
    </row>
    <row r="69" spans="1:16" s="61" customFormat="1" x14ac:dyDescent="0.25">
      <c r="A69" s="75" t="s">
        <v>80</v>
      </c>
      <c r="B69" s="147" t="s">
        <v>13</v>
      </c>
      <c r="C69" s="333">
        <f t="shared" ref="C69:N69" si="44">IFERROR(C68/C56,"n.a.")</f>
        <v>0.14165202108963093</v>
      </c>
      <c r="D69" s="333">
        <f t="shared" si="44"/>
        <v>0.21917547367418833</v>
      </c>
      <c r="E69" s="333">
        <f t="shared" si="44"/>
        <v>0.23271199320548924</v>
      </c>
      <c r="F69" s="333">
        <f t="shared" si="44"/>
        <v>0.77785784878932629</v>
      </c>
      <c r="G69" s="333">
        <f t="shared" si="44"/>
        <v>0.92</v>
      </c>
      <c r="H69" s="333">
        <f t="shared" si="44"/>
        <v>0.92</v>
      </c>
      <c r="I69" s="333">
        <f t="shared" si="44"/>
        <v>0.92</v>
      </c>
      <c r="J69" s="333">
        <f t="shared" si="44"/>
        <v>0.92</v>
      </c>
      <c r="K69" s="333">
        <f t="shared" si="44"/>
        <v>0.92</v>
      </c>
      <c r="L69" s="333">
        <f t="shared" si="44"/>
        <v>0.92</v>
      </c>
      <c r="M69" s="333">
        <f t="shared" si="44"/>
        <v>0.92</v>
      </c>
      <c r="N69" s="333">
        <f t="shared" si="44"/>
        <v>0.92000000000000015</v>
      </c>
      <c r="O69" s="148"/>
    </row>
    <row r="70" spans="1:16" x14ac:dyDescent="0.25">
      <c r="G70" s="70"/>
      <c r="H70" s="70"/>
      <c r="I70" s="70"/>
      <c r="J70" s="70"/>
      <c r="K70" s="70"/>
      <c r="L70" s="70"/>
      <c r="M70" s="70"/>
      <c r="N70" s="70"/>
      <c r="O70" s="83"/>
    </row>
    <row r="71" spans="1:16" ht="23.25" x14ac:dyDescent="0.35">
      <c r="A71" s="146" t="s">
        <v>45</v>
      </c>
      <c r="G71" s="70"/>
      <c r="H71" s="70"/>
      <c r="I71" s="70"/>
      <c r="J71" s="70"/>
      <c r="K71" s="70"/>
      <c r="L71" s="70"/>
      <c r="M71" s="70"/>
      <c r="N71" s="70"/>
      <c r="O71" s="83"/>
      <c r="P71" s="78" t="str">
        <f>Data_Sources!$D$13&amp;" | "&amp;Data_Sources!$E$13&amp;" | "&amp;Data_Sources!$F$13</f>
        <v>Eternal Q4FY26 shareholders' letter | Annexure A — going-out metrics | https://b.zmtcdn.com/investor-relations/Eternal_Shareholders_Letter_Q4FY26_Results.pdf</v>
      </c>
    </row>
    <row r="72" spans="1:16" x14ac:dyDescent="0.25">
      <c r="A72" t="s">
        <v>77</v>
      </c>
      <c r="B72" t="s">
        <v>9</v>
      </c>
      <c r="C72" s="116"/>
      <c r="D72" s="254">
        <v>3225</v>
      </c>
      <c r="E72" s="254">
        <v>6619</v>
      </c>
      <c r="F72" s="254">
        <v>9399</v>
      </c>
      <c r="G72" s="59">
        <f>F72*(1+Assumptions!H36)</f>
        <v>13158.599999999999</v>
      </c>
      <c r="H72" s="59">
        <f>G72*(1+Assumptions!I36)</f>
        <v>17895.695999999996</v>
      </c>
      <c r="I72" s="59">
        <f>H72*(1+Assumptions!J36)</f>
        <v>23622.318719999996</v>
      </c>
      <c r="J72" s="59">
        <f>I72*(1+Assumptions!K36)</f>
        <v>30709.014335999997</v>
      </c>
      <c r="K72" s="59">
        <f>J72*(1+Assumptions!L36)</f>
        <v>38386.267919999998</v>
      </c>
      <c r="L72" s="59">
        <f>K72*(1+Assumptions!M36)</f>
        <v>47982.834900000002</v>
      </c>
      <c r="M72" s="59">
        <f>L72*(1+Assumptions!N36)</f>
        <v>59978.543625000006</v>
      </c>
      <c r="N72" s="59">
        <f>M72*(1+Assumptions!O36)</f>
        <v>74973.179531250003</v>
      </c>
      <c r="O72" s="224" t="s">
        <v>753</v>
      </c>
    </row>
    <row r="73" spans="1:16" s="61" customFormat="1" x14ac:dyDescent="0.25">
      <c r="A73" s="75" t="s">
        <v>78</v>
      </c>
      <c r="B73" s="75" t="s">
        <v>13</v>
      </c>
      <c r="C73" s="110"/>
      <c r="D73" s="110"/>
      <c r="E73" s="290">
        <f t="shared" ref="E73" si="45">E72/D72-1</f>
        <v>1.0524031007751939</v>
      </c>
      <c r="F73" s="290">
        <f>F72/E72-1</f>
        <v>0.42000302160447189</v>
      </c>
      <c r="G73" s="290">
        <f>G72/F72-1</f>
        <v>0.39999999999999991</v>
      </c>
      <c r="H73" s="290">
        <f t="shared" ref="H73:N73" si="46">H72/G72-1</f>
        <v>0.35999999999999988</v>
      </c>
      <c r="I73" s="290">
        <f t="shared" si="46"/>
        <v>0.32000000000000006</v>
      </c>
      <c r="J73" s="290">
        <f t="shared" si="46"/>
        <v>0.30000000000000004</v>
      </c>
      <c r="K73" s="290">
        <f t="shared" si="46"/>
        <v>0.25</v>
      </c>
      <c r="L73" s="290">
        <f t="shared" si="46"/>
        <v>0.25</v>
      </c>
      <c r="M73" s="290">
        <f t="shared" si="46"/>
        <v>0.25</v>
      </c>
      <c r="N73" s="290">
        <f t="shared" si="46"/>
        <v>0.25</v>
      </c>
      <c r="O73" s="86"/>
    </row>
    <row r="74" spans="1:16" s="61" customFormat="1" x14ac:dyDescent="0.25">
      <c r="A74" s="75"/>
      <c r="B74" s="75"/>
      <c r="C74" s="110"/>
      <c r="D74" s="110"/>
      <c r="E74" s="110"/>
      <c r="F74" s="110"/>
      <c r="G74" s="117"/>
      <c r="H74" s="117"/>
      <c r="I74" s="117"/>
      <c r="J74" s="117"/>
      <c r="K74" s="117"/>
      <c r="L74" s="117"/>
      <c r="M74" s="117"/>
      <c r="N74" s="117"/>
      <c r="O74" s="86"/>
    </row>
    <row r="75" spans="1:16" x14ac:dyDescent="0.25">
      <c r="A75" t="s">
        <v>83</v>
      </c>
      <c r="B75" t="s">
        <v>9</v>
      </c>
      <c r="C75" s="116"/>
      <c r="D75" s="254">
        <v>257</v>
      </c>
      <c r="E75" s="254">
        <v>747</v>
      </c>
      <c r="F75" s="254">
        <v>973</v>
      </c>
      <c r="G75" s="59">
        <f>G72*Assumptions!H37</f>
        <v>1381.6529999999998</v>
      </c>
      <c r="H75" s="59">
        <f>H72*Assumptions!I37</f>
        <v>1968.5265599999996</v>
      </c>
      <c r="I75" s="59">
        <f>I72*Assumptions!J37</f>
        <v>2716.5666527999997</v>
      </c>
      <c r="J75" s="59">
        <f>J72*Assumptions!K37</f>
        <v>3685.0817203199995</v>
      </c>
      <c r="K75" s="59">
        <f>K72*Assumptions!L37</f>
        <v>4606.3521504</v>
      </c>
      <c r="L75" s="59">
        <f>L72*Assumptions!M37</f>
        <v>5757.9401879999996</v>
      </c>
      <c r="M75" s="59">
        <f>M72*Assumptions!N37</f>
        <v>7197.4252350000006</v>
      </c>
      <c r="N75" s="59">
        <f>N72*Assumptions!O37</f>
        <v>8996.7815437499994</v>
      </c>
      <c r="O75" s="224" t="s">
        <v>754</v>
      </c>
    </row>
    <row r="76" spans="1:16" s="61" customFormat="1" x14ac:dyDescent="0.25">
      <c r="A76" s="75" t="s">
        <v>80</v>
      </c>
      <c r="B76" s="75" t="s">
        <v>13</v>
      </c>
      <c r="C76" s="109"/>
      <c r="D76" s="333">
        <f t="shared" ref="D76:N76" si="47">IFERROR(D75/D72,"n.a.")</f>
        <v>7.9689922480620151E-2</v>
      </c>
      <c r="E76" s="333">
        <f t="shared" si="47"/>
        <v>0.11285692702825201</v>
      </c>
      <c r="F76" s="333">
        <f t="shared" si="47"/>
        <v>0.10352165123949357</v>
      </c>
      <c r="G76" s="333">
        <f t="shared" si="47"/>
        <v>0.105</v>
      </c>
      <c r="H76" s="333">
        <f t="shared" si="47"/>
        <v>0.11</v>
      </c>
      <c r="I76" s="333">
        <f t="shared" si="47"/>
        <v>0.115</v>
      </c>
      <c r="J76" s="333">
        <f t="shared" si="47"/>
        <v>0.12</v>
      </c>
      <c r="K76" s="333">
        <f t="shared" si="47"/>
        <v>0.12000000000000001</v>
      </c>
      <c r="L76" s="333">
        <f t="shared" si="47"/>
        <v>0.11999999999999998</v>
      </c>
      <c r="M76" s="333">
        <f t="shared" si="47"/>
        <v>0.12</v>
      </c>
      <c r="N76" s="333">
        <f t="shared" si="47"/>
        <v>0.11999999999999998</v>
      </c>
      <c r="O76" s="148"/>
    </row>
    <row r="77" spans="1:16" x14ac:dyDescent="0.25">
      <c r="G77" s="70"/>
      <c r="H77" s="70"/>
      <c r="I77" s="70"/>
      <c r="J77" s="70"/>
      <c r="K77" s="70"/>
      <c r="L77" s="70"/>
      <c r="M77" s="70"/>
      <c r="N77" s="70"/>
      <c r="O77" s="83"/>
    </row>
    <row r="78" spans="1:16" x14ac:dyDescent="0.25">
      <c r="G78" s="70"/>
      <c r="H78" s="70"/>
      <c r="I78" s="70"/>
      <c r="J78" s="70"/>
      <c r="K78" s="70"/>
      <c r="L78" s="70"/>
      <c r="M78" s="70"/>
      <c r="N78" s="70"/>
      <c r="O78" s="83"/>
    </row>
    <row r="79" spans="1:16" ht="23.25" x14ac:dyDescent="0.35">
      <c r="A79" s="146" t="s">
        <v>47</v>
      </c>
      <c r="G79" s="70"/>
      <c r="H79" s="70"/>
      <c r="I79" s="70"/>
      <c r="J79" s="70"/>
      <c r="K79" s="70"/>
      <c r="L79" s="70"/>
      <c r="M79" s="70"/>
      <c r="N79" s="70"/>
      <c r="O79" s="83"/>
    </row>
    <row r="80" spans="1:16" x14ac:dyDescent="0.25">
      <c r="A80" t="s">
        <v>83</v>
      </c>
      <c r="B80" t="s">
        <v>9</v>
      </c>
      <c r="C80" s="254">
        <v>1506</v>
      </c>
      <c r="D80" s="292">
        <f>D83+D84</f>
        <v>3172</v>
      </c>
      <c r="E80" s="292">
        <f t="shared" ref="E80:N80" si="48">E83+E84</f>
        <v>6196</v>
      </c>
      <c r="F80" s="292">
        <f t="shared" si="48"/>
        <v>5366</v>
      </c>
      <c r="G80" s="292">
        <f t="shared" si="48"/>
        <v>5210.7999999999993</v>
      </c>
      <c r="H80" s="292">
        <f t="shared" si="48"/>
        <v>7295.1199999999981</v>
      </c>
      <c r="I80" s="292">
        <f t="shared" si="48"/>
        <v>10213.167999999996</v>
      </c>
      <c r="J80" s="292">
        <f t="shared" si="48"/>
        <v>14298.435199999994</v>
      </c>
      <c r="K80" s="292">
        <f t="shared" si="48"/>
        <v>20017.80927999999</v>
      </c>
      <c r="L80" s="292">
        <f t="shared" si="48"/>
        <v>28024.932991999984</v>
      </c>
      <c r="M80" s="292">
        <f t="shared" si="48"/>
        <v>39234.906188799978</v>
      </c>
      <c r="N80" s="292">
        <f t="shared" si="48"/>
        <v>54928.868664319969</v>
      </c>
      <c r="O80" s="224" t="s">
        <v>755</v>
      </c>
    </row>
    <row r="81" spans="1:16" s="61" customFormat="1" x14ac:dyDescent="0.25">
      <c r="A81" s="75" t="s">
        <v>85</v>
      </c>
      <c r="B81" s="75" t="s">
        <v>13</v>
      </c>
      <c r="C81" s="110"/>
      <c r="D81" s="290">
        <f>D80/C80-1</f>
        <v>1.1062416998671978</v>
      </c>
      <c r="E81" s="290">
        <f>E80/D80-1</f>
        <v>0.95334174022698615</v>
      </c>
      <c r="F81" s="290">
        <f>F80/E80-1</f>
        <v>-0.13395739186571987</v>
      </c>
      <c r="G81" s="290">
        <f t="shared" ref="G81" si="49">G80/F80-1</f>
        <v>-2.8922847558703113E-2</v>
      </c>
      <c r="H81" s="290">
        <f t="shared" ref="H81:N81" si="50">H80/G80-1</f>
        <v>0.39999999999999991</v>
      </c>
      <c r="I81" s="290">
        <f t="shared" si="50"/>
        <v>0.39999999999999991</v>
      </c>
      <c r="J81" s="290">
        <f t="shared" si="50"/>
        <v>0.39999999999999991</v>
      </c>
      <c r="K81" s="290">
        <f t="shared" si="50"/>
        <v>0.39999999999999991</v>
      </c>
      <c r="L81" s="290">
        <f t="shared" si="50"/>
        <v>0.39999999999999991</v>
      </c>
      <c r="M81" s="290">
        <f t="shared" si="50"/>
        <v>0.40000000000000013</v>
      </c>
      <c r="N81" s="290">
        <f t="shared" si="50"/>
        <v>0.39999999999999991</v>
      </c>
      <c r="O81" s="129"/>
      <c r="P81" s="139" t="str">
        <f>Data_Sources!$D$14&amp;" | "&amp;Data_Sources!$E$14&amp;" | "&amp;Data_Sources!$F$14</f>
        <v>Eternal Q4FY26 shareholders' letter | Annexure A — B2B supplies metrics | https://b.zmtcdn.com/investor-relations/Eternal_Shareholders_Letter_Q4FY26_Results.pdf</v>
      </c>
    </row>
    <row r="82" spans="1:16" s="61" customFormat="1" x14ac:dyDescent="0.25">
      <c r="A82" s="75"/>
      <c r="B82" s="75"/>
      <c r="C82" s="110"/>
      <c r="D82" s="110"/>
      <c r="E82" s="110"/>
      <c r="F82" s="110"/>
      <c r="G82" s="117"/>
      <c r="H82" s="117"/>
      <c r="I82" s="117"/>
      <c r="J82" s="117"/>
      <c r="K82" s="117"/>
      <c r="L82" s="117"/>
      <c r="M82" s="117"/>
      <c r="N82" s="117"/>
      <c r="O82" s="129"/>
      <c r="P82" s="139"/>
    </row>
    <row r="83" spans="1:16" s="61" customFormat="1" x14ac:dyDescent="0.25">
      <c r="A83" s="76" t="s">
        <v>750</v>
      </c>
      <c r="B83" s="2" t="s">
        <v>9</v>
      </c>
      <c r="D83" s="9">
        <v>1970</v>
      </c>
      <c r="E83" s="299">
        <v>2699</v>
      </c>
      <c r="F83" s="299">
        <v>3722</v>
      </c>
      <c r="G83" s="258">
        <f>F83*(1+Assumptions!H41)</f>
        <v>5210.7999999999993</v>
      </c>
      <c r="H83" s="258">
        <f>G83*(1+Assumptions!I41)</f>
        <v>7295.1199999999981</v>
      </c>
      <c r="I83" s="258">
        <f>H83*(1+Assumptions!J41)</f>
        <v>10213.167999999996</v>
      </c>
      <c r="J83" s="258">
        <f>I83*(1+Assumptions!K41)</f>
        <v>14298.435199999994</v>
      </c>
      <c r="K83" s="258">
        <f>J83*(1+Assumptions!L41)</f>
        <v>20017.80927999999</v>
      </c>
      <c r="L83" s="258">
        <f>K83*(1+Assumptions!M41)</f>
        <v>28024.932991999984</v>
      </c>
      <c r="M83" s="258">
        <f>L83*(1+Assumptions!N41)</f>
        <v>39234.906188799978</v>
      </c>
      <c r="N83" s="258">
        <f>M83*(1+Assumptions!O41)</f>
        <v>54928.868664319969</v>
      </c>
      <c r="O83" s="224" t="s">
        <v>1618</v>
      </c>
    </row>
    <row r="84" spans="1:16" s="61" customFormat="1" x14ac:dyDescent="0.25">
      <c r="A84" s="76" t="s">
        <v>751</v>
      </c>
      <c r="B84" s="76" t="s">
        <v>9</v>
      </c>
      <c r="D84" s="299">
        <v>1202</v>
      </c>
      <c r="E84" s="299">
        <v>3497</v>
      </c>
      <c r="F84" s="299">
        <v>1644</v>
      </c>
      <c r="G84" s="258">
        <f>Assumptions!H42</f>
        <v>0</v>
      </c>
      <c r="H84" s="258">
        <f>Assumptions!I42</f>
        <v>0</v>
      </c>
      <c r="I84" s="258">
        <f>Assumptions!J42</f>
        <v>0</v>
      </c>
      <c r="J84" s="258">
        <f>Assumptions!K42</f>
        <v>0</v>
      </c>
      <c r="K84" s="258">
        <f>Assumptions!L42</f>
        <v>0</v>
      </c>
      <c r="L84" s="258">
        <f>Assumptions!M42</f>
        <v>0</v>
      </c>
      <c r="M84" s="258">
        <f>Assumptions!N42</f>
        <v>0</v>
      </c>
      <c r="N84" s="258">
        <f>Assumptions!O42</f>
        <v>0</v>
      </c>
      <c r="O84" s="224" t="s">
        <v>897</v>
      </c>
    </row>
    <row r="85" spans="1:16" x14ac:dyDescent="0.25">
      <c r="G85" s="70"/>
      <c r="H85" s="70"/>
      <c r="I85" s="70"/>
      <c r="J85" s="70"/>
      <c r="K85" s="70"/>
      <c r="L85" s="70"/>
      <c r="M85" s="70"/>
      <c r="N85" s="70"/>
      <c r="O85" s="83"/>
    </row>
    <row r="86" spans="1:16" ht="23.25" x14ac:dyDescent="0.35">
      <c r="A86" s="146" t="s">
        <v>49</v>
      </c>
      <c r="G86" s="70"/>
      <c r="H86" s="70"/>
      <c r="I86" s="70"/>
      <c r="J86" s="70"/>
      <c r="K86" s="70"/>
      <c r="L86" s="70"/>
      <c r="M86" s="70"/>
      <c r="N86" s="70"/>
      <c r="O86" s="83"/>
    </row>
    <row r="87" spans="1:16" x14ac:dyDescent="0.25">
      <c r="A87" t="s">
        <v>83</v>
      </c>
      <c r="B87" t="s">
        <v>9</v>
      </c>
      <c r="C87" s="254">
        <v>234</v>
      </c>
      <c r="D87" s="254">
        <v>22</v>
      </c>
      <c r="E87" s="254">
        <v>30</v>
      </c>
      <c r="F87" s="254">
        <v>87</v>
      </c>
      <c r="G87" s="59">
        <f>F87*(1+Assumptions!H44)</f>
        <v>121.8</v>
      </c>
      <c r="H87" s="59">
        <f>G87*(1+Assumptions!I44)</f>
        <v>164.43</v>
      </c>
      <c r="I87" s="59">
        <f>H87*(1+Assumptions!J44)</f>
        <v>213.75900000000001</v>
      </c>
      <c r="J87" s="59">
        <f>I87*(1+Assumptions!K44)</f>
        <v>267.19875000000002</v>
      </c>
      <c r="K87" s="59">
        <f>J87*(1+Assumptions!L44)</f>
        <v>320.63850000000002</v>
      </c>
      <c r="L87" s="59">
        <f>K87*(1+Assumptions!M44)</f>
        <v>368.73427499999997</v>
      </c>
      <c r="M87" s="59">
        <f>L87*(1+Assumptions!N44)</f>
        <v>412.98238800000001</v>
      </c>
      <c r="N87" s="59">
        <f>M87*(1+Assumptions!O44)</f>
        <v>454.28062680000005</v>
      </c>
      <c r="O87" s="226" t="s">
        <v>756</v>
      </c>
    </row>
    <row r="88" spans="1:16" x14ac:dyDescent="0.25">
      <c r="C88" s="18"/>
      <c r="D88" s="18"/>
      <c r="E88" s="18"/>
      <c r="F88" s="18"/>
      <c r="G88" s="68"/>
      <c r="H88" s="68"/>
      <c r="I88" s="68"/>
      <c r="J88" s="68"/>
      <c r="K88" s="68"/>
      <c r="L88" s="68"/>
      <c r="M88" s="68"/>
      <c r="N88" s="68"/>
      <c r="O88" s="87"/>
    </row>
    <row r="89" spans="1:16" x14ac:dyDescent="0.25">
      <c r="G89" s="70"/>
      <c r="H89" s="70"/>
      <c r="I89" s="70"/>
      <c r="J89" s="70"/>
      <c r="K89" s="70"/>
      <c r="L89" s="70"/>
      <c r="M89" s="70"/>
      <c r="N89" s="70"/>
      <c r="O89" s="8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2A70E-21E3-4D71-AB3E-147BB28063DA}">
  <dimension ref="A1:Q53"/>
  <sheetViews>
    <sheetView topLeftCell="A22" zoomScale="60" zoomScaleNormal="60" workbookViewId="0">
      <selection activeCell="A35" sqref="A35:XFD35"/>
    </sheetView>
  </sheetViews>
  <sheetFormatPr defaultRowHeight="15" x14ac:dyDescent="0.25"/>
  <cols>
    <col min="1" max="1" width="54.5703125" customWidth="1"/>
    <col min="2" max="5" width="10.85546875" customWidth="1"/>
    <col min="6" max="15" width="14.140625" customWidth="1"/>
    <col min="16" max="16" width="72.7109375" style="24" customWidth="1"/>
    <col min="17" max="17" width="47.28515625" customWidth="1"/>
  </cols>
  <sheetData>
    <row r="1" spans="1:17" ht="18.75" x14ac:dyDescent="0.3">
      <c r="A1" s="5" t="s">
        <v>416</v>
      </c>
      <c r="Q1" s="137" t="str">
        <f>Data_Sources!$D$30&amp;" | "&amp;Data_Sources!$E$30&amp;" | "&amp;Data_Sources!$F$30</f>
        <v>Eternal Q4FY26 audited consolidated P&amp;L | Annexure D — expenses | https://b.zmtcdn.com/investor-relations/Eternal_Shareholders_Letter_Q4FY26_Results.pdf</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8" t="s">
        <v>417</v>
      </c>
      <c r="H4" s="70"/>
      <c r="I4" s="70"/>
      <c r="J4" s="70"/>
      <c r="K4" s="70"/>
      <c r="L4" s="70"/>
      <c r="M4" s="70"/>
      <c r="N4" s="70"/>
      <c r="O4" s="70"/>
    </row>
    <row r="5" spans="1:17" x14ac:dyDescent="0.25">
      <c r="A5" t="s">
        <v>732</v>
      </c>
      <c r="B5" t="s">
        <v>9</v>
      </c>
      <c r="D5" s="59">
        <f>IS!D6</f>
        <v>7079</v>
      </c>
      <c r="E5" s="59">
        <f>IS!E6</f>
        <v>12114</v>
      </c>
      <c r="F5" s="59">
        <f>IS!F6</f>
        <v>20243</v>
      </c>
      <c r="G5" s="59">
        <f>IS!G6</f>
        <v>54364</v>
      </c>
      <c r="H5" s="59">
        <f>IS!H6</f>
        <v>130546.60204</v>
      </c>
      <c r="I5" s="59">
        <f>IS!I6</f>
        <v>181469.48782399998</v>
      </c>
      <c r="J5" s="59">
        <f>IS!J6</f>
        <v>246454.50294327998</v>
      </c>
      <c r="K5" s="59">
        <f>IS!K6</f>
        <v>321890.26672094397</v>
      </c>
      <c r="L5" s="59">
        <f>IS!L6</f>
        <v>406825.36460368003</v>
      </c>
      <c r="M5" s="59">
        <f>IS!M6</f>
        <v>501959.06929659995</v>
      </c>
      <c r="N5" s="59">
        <f>IS!N6</f>
        <v>608647.48749380012</v>
      </c>
      <c r="O5" s="59">
        <f>IS!O6</f>
        <v>707913.6048823701</v>
      </c>
    </row>
    <row r="6" spans="1:17" ht="45" x14ac:dyDescent="0.25">
      <c r="A6" t="s">
        <v>418</v>
      </c>
      <c r="B6" t="s">
        <v>9</v>
      </c>
      <c r="D6" s="254">
        <v>1395</v>
      </c>
      <c r="E6" s="254">
        <v>2882</v>
      </c>
      <c r="F6" s="254">
        <v>5565</v>
      </c>
      <c r="G6" s="254">
        <v>30167</v>
      </c>
      <c r="H6" s="59">
        <f>'Revenue Schedule'!G68*(1-Assumptions!H71)+'Revenue Schedule'!G80*(1-Assumptions!H72)</f>
        <v>83490.547000000006</v>
      </c>
      <c r="I6" s="59">
        <f>'Revenue Schedule'!H68*(1-Assumptions!I71)+'Revenue Schedule'!H80*(1-Assumptions!I72)</f>
        <v>116049.88900000001</v>
      </c>
      <c r="J6" s="59">
        <f>'Revenue Schedule'!I68*(1-Assumptions!J71)+'Revenue Schedule'!I80*(1-Assumptions!J72)</f>
        <v>158151.74991000001</v>
      </c>
      <c r="K6" s="59">
        <f>'Revenue Schedule'!J68*(1-Assumptions!K71)+'Revenue Schedule'!J80*(1-Assumptions!K72)</f>
        <v>206480.48237399998</v>
      </c>
      <c r="L6" s="59">
        <f>'Revenue Schedule'!K68*(1-Assumptions!L71)+'Revenue Schedule'!K80*(1-Assumptions!L72)</f>
        <v>260741.78902720008</v>
      </c>
      <c r="M6" s="59">
        <f>'Revenue Schedule'!L68*(1-Assumptions!M71)+'Revenue Schedule'!L80*(1-Assumptions!M72)</f>
        <v>323414.69303808</v>
      </c>
      <c r="N6" s="59">
        <f>'Revenue Schedule'!M68*(1-Assumptions!N71)+'Revenue Schedule'!M80*(1-Assumptions!N72)</f>
        <v>390738.08032236795</v>
      </c>
      <c r="O6" s="59">
        <f>'Revenue Schedule'!N68*(1-Assumptions!O71)+'Revenue Schedule'!N80*(1-Assumptions!O72)</f>
        <v>455499.36617631523</v>
      </c>
      <c r="P6" s="128" t="s">
        <v>419</v>
      </c>
    </row>
    <row r="7" spans="1:17" x14ac:dyDescent="0.25">
      <c r="A7" t="s">
        <v>420</v>
      </c>
      <c r="B7" t="s">
        <v>9</v>
      </c>
      <c r="D7" s="254">
        <v>2537</v>
      </c>
      <c r="E7" s="254">
        <v>3915</v>
      </c>
      <c r="F7" s="254">
        <v>5728</v>
      </c>
      <c r="G7" s="254">
        <v>9065</v>
      </c>
      <c r="H7" s="59">
        <f>H5*Assumptions!H73</f>
        <v>21382.988293438808</v>
      </c>
      <c r="I7" s="59">
        <f>I5*Assumptions!I73</f>
        <v>29149.416577366796</v>
      </c>
      <c r="J7" s="59">
        <f>J5*Assumptions!J73</f>
        <v>38822.739995915872</v>
      </c>
      <c r="K7" s="59">
        <f>K5*Assumptions!K73</f>
        <v>49716.124917610097</v>
      </c>
      <c r="L7" s="59">
        <f>L5*Assumptions!L73</f>
        <v>61595.465206607681</v>
      </c>
      <c r="M7" s="59">
        <f>M5*Assumptions!M73</f>
        <v>74474.998986854378</v>
      </c>
      <c r="N7" s="59">
        <f>N5*Assumptions!N73</f>
        <v>89084.678670372334</v>
      </c>
      <c r="O7" s="59">
        <f>O5*Assumptions!O73</f>
        <v>101472.74522269443</v>
      </c>
      <c r="P7" s="158"/>
    </row>
    <row r="8" spans="1:17" x14ac:dyDescent="0.25">
      <c r="A8" t="s">
        <v>421</v>
      </c>
      <c r="B8" t="s">
        <v>9</v>
      </c>
      <c r="D8" s="254">
        <v>1465</v>
      </c>
      <c r="E8" s="254">
        <v>1659</v>
      </c>
      <c r="F8" s="254">
        <v>2558</v>
      </c>
      <c r="G8" s="254">
        <v>3536</v>
      </c>
      <c r="H8" s="59">
        <f>H5*Assumptions!H74</f>
        <v>7751.3332563715676</v>
      </c>
      <c r="I8" s="59">
        <f>I5*Assumptions!I74</f>
        <v>10025.913982024249</v>
      </c>
      <c r="J8" s="59">
        <f>J5*Assumptions!J74</f>
        <v>12604.7857129597</v>
      </c>
      <c r="K8" s="59">
        <f>K5*Assumptions!K74</f>
        <v>15474.555437931624</v>
      </c>
      <c r="L8" s="59">
        <f>L5*Assumptions!L74</f>
        <v>18728.350907414497</v>
      </c>
      <c r="M8" s="59">
        <f>M5*Assumptions!M74</f>
        <v>22085.689354722334</v>
      </c>
      <c r="N8" s="59">
        <f>N5*Assumptions!N74</f>
        <v>26164.730798291181</v>
      </c>
      <c r="O8" s="59">
        <f>O5*Assumptions!O74</f>
        <v>29717.01824378908</v>
      </c>
      <c r="P8" s="158"/>
    </row>
    <row r="9" spans="1:17" x14ac:dyDescent="0.25">
      <c r="A9" s="80" t="s">
        <v>851</v>
      </c>
      <c r="B9" s="80" t="s">
        <v>9</v>
      </c>
      <c r="C9" s="80"/>
      <c r="D9" s="151">
        <f t="shared" ref="D9:O9" si="0">IFERROR(D8-D10,"")</f>
        <v>1465</v>
      </c>
      <c r="E9" s="151">
        <f t="shared" si="0"/>
        <v>1144</v>
      </c>
      <c r="F9" s="151">
        <f t="shared" si="0"/>
        <v>1760</v>
      </c>
      <c r="G9" s="151">
        <f t="shared" si="0"/>
        <v>2717</v>
      </c>
      <c r="H9" s="151">
        <f t="shared" si="0"/>
        <v>6901.3332563715676</v>
      </c>
      <c r="I9" s="151">
        <f t="shared" si="0"/>
        <v>9145.913982024249</v>
      </c>
      <c r="J9" s="151">
        <f t="shared" si="0"/>
        <v>11704.7857129597</v>
      </c>
      <c r="K9" s="151">
        <f t="shared" si="0"/>
        <v>14554.555437931624</v>
      </c>
      <c r="L9" s="151">
        <f t="shared" si="0"/>
        <v>17788.350907414497</v>
      </c>
      <c r="M9" s="151">
        <f t="shared" si="0"/>
        <v>21125.689354722334</v>
      </c>
      <c r="N9" s="151">
        <f t="shared" si="0"/>
        <v>25184.730798291181</v>
      </c>
      <c r="O9" s="151">
        <f t="shared" si="0"/>
        <v>28717.01824378908</v>
      </c>
      <c r="P9" s="158"/>
    </row>
    <row r="10" spans="1:17" x14ac:dyDescent="0.25">
      <c r="A10" s="80" t="s">
        <v>852</v>
      </c>
      <c r="B10" s="80" t="s">
        <v>9</v>
      </c>
      <c r="C10" s="80"/>
      <c r="D10" s="190">
        <f>'ESOP Schedule'!C5</f>
        <v>0</v>
      </c>
      <c r="E10" s="190">
        <f>'ESOP Schedule'!D5</f>
        <v>515</v>
      </c>
      <c r="F10" s="190">
        <f>'ESOP Schedule'!E5</f>
        <v>798</v>
      </c>
      <c r="G10" s="190">
        <f>'ESOP Schedule'!F5</f>
        <v>819</v>
      </c>
      <c r="H10" s="190">
        <f>'ESOP Schedule'!G5</f>
        <v>850</v>
      </c>
      <c r="I10" s="190">
        <f>'ESOP Schedule'!H5</f>
        <v>880</v>
      </c>
      <c r="J10" s="190">
        <f>'ESOP Schedule'!I5</f>
        <v>900</v>
      </c>
      <c r="K10" s="190">
        <f>'ESOP Schedule'!J5</f>
        <v>920</v>
      </c>
      <c r="L10" s="190">
        <f>'ESOP Schedule'!K5</f>
        <v>940</v>
      </c>
      <c r="M10" s="190">
        <f>'ESOP Schedule'!L5</f>
        <v>960</v>
      </c>
      <c r="N10" s="190">
        <f>'ESOP Schedule'!M5</f>
        <v>980</v>
      </c>
      <c r="O10" s="190">
        <f>'ESOP Schedule'!N5</f>
        <v>1000</v>
      </c>
      <c r="P10" s="158"/>
    </row>
    <row r="11" spans="1:17" x14ac:dyDescent="0.25">
      <c r="A11" t="s">
        <v>422</v>
      </c>
      <c r="B11" t="s">
        <v>9</v>
      </c>
      <c r="D11" s="93">
        <v>1227</v>
      </c>
      <c r="E11" s="93">
        <v>1432</v>
      </c>
      <c r="F11" s="93">
        <v>1972</v>
      </c>
      <c r="G11" s="93">
        <v>3350</v>
      </c>
      <c r="H11" s="190">
        <f>H5*Assumptions!H75</f>
        <v>7617.6895795375749</v>
      </c>
      <c r="I11" s="190">
        <f>I5*Assumptions!I75</f>
        <v>10025.913982024249</v>
      </c>
      <c r="J11" s="190">
        <f>J5*Assumptions!J75</f>
        <v>12604.7857129597</v>
      </c>
      <c r="K11" s="190">
        <f>K5*Assumptions!K75</f>
        <v>15803.801298313147</v>
      </c>
      <c r="L11" s="190">
        <f>L5*Assumptions!L75</f>
        <v>19144.53648313482</v>
      </c>
      <c r="M11" s="190">
        <f>M5*Assumptions!M75</f>
        <v>22599.310037390293</v>
      </c>
      <c r="N11" s="190">
        <f>N5*Assumptions!N75</f>
        <v>26787.700579202869</v>
      </c>
      <c r="O11" s="190">
        <f>O5*Assumptions!O75</f>
        <v>30441.823566808325</v>
      </c>
      <c r="P11" s="158"/>
    </row>
    <row r="12" spans="1:17" ht="36" customHeight="1" x14ac:dyDescent="0.25">
      <c r="A12" t="s">
        <v>423</v>
      </c>
      <c r="B12" t="s">
        <v>9</v>
      </c>
      <c r="D12" s="93">
        <v>1665</v>
      </c>
      <c r="E12" s="93">
        <v>2184</v>
      </c>
      <c r="F12" s="93">
        <v>3783</v>
      </c>
      <c r="G12" s="93">
        <v>7038</v>
      </c>
      <c r="H12" s="190">
        <f>H5*Assumptions!H77</f>
        <v>15595.184872792554</v>
      </c>
      <c r="I12" s="190">
        <f>I5*Assumptions!I77</f>
        <v>19863.772176146587</v>
      </c>
      <c r="J12" s="190">
        <f>J5*Assumptions!J77</f>
        <v>24512.530604343872</v>
      </c>
      <c r="K12" s="190">
        <f>K5*Assumptions!K77</f>
        <v>28796.519733303434</v>
      </c>
      <c r="L12" s="190">
        <f>L5*Assumptions!L77</f>
        <v>32326.617063037622</v>
      </c>
      <c r="M12" s="190">
        <f>M5*Assumptions!M77</f>
        <v>34866.414522754938</v>
      </c>
      <c r="N12" s="190">
        <f>N5*Assumptions!N77</f>
        <v>36190.588924167816</v>
      </c>
      <c r="O12" s="190">
        <f>O5*Assumptions!O77</f>
        <v>38935.248268530355</v>
      </c>
      <c r="P12" s="128" t="s">
        <v>1470</v>
      </c>
    </row>
    <row r="13" spans="1:17" x14ac:dyDescent="0.25">
      <c r="A13" s="80" t="s">
        <v>853</v>
      </c>
      <c r="B13" s="80" t="s">
        <v>9</v>
      </c>
      <c r="C13" s="80"/>
      <c r="D13" s="190">
        <f>IFERROR(D12*Assumptions!D79,"")</f>
        <v>283.05</v>
      </c>
      <c r="E13" s="190">
        <f>IFERROR(E12*Assumptions!E79,"")</f>
        <v>371.28000000000003</v>
      </c>
      <c r="F13" s="190">
        <f>IFERROR(F12*Assumptions!F79,"")</f>
        <v>643.11</v>
      </c>
      <c r="G13" s="190">
        <f>IFERROR(G12*Assumptions!G79,"")</f>
        <v>1196.46</v>
      </c>
      <c r="H13" s="190">
        <f>IFERROR(H12*Assumptions!H79,"")</f>
        <v>2651.1814283747344</v>
      </c>
      <c r="I13" s="190">
        <f>IFERROR(I12*Assumptions!I79,"")</f>
        <v>3376.84126994492</v>
      </c>
      <c r="J13" s="190">
        <f>IFERROR(J12*Assumptions!J79,"")</f>
        <v>4167.1302027384581</v>
      </c>
      <c r="K13" s="190">
        <f>IFERROR(K12*Assumptions!K79,"")</f>
        <v>4895.4083546615839</v>
      </c>
      <c r="L13" s="190">
        <f>IFERROR(L12*Assumptions!L79,"")</f>
        <v>5495.5249007163957</v>
      </c>
      <c r="M13" s="190">
        <f>IFERROR(M12*Assumptions!M79,"")</f>
        <v>5927.2904688683402</v>
      </c>
      <c r="N13" s="190">
        <f>IFERROR(N12*Assumptions!N79,"")</f>
        <v>6152.4001171085292</v>
      </c>
      <c r="O13" s="190">
        <f>IFERROR(O12*Assumptions!O79,"")</f>
        <v>6618.9922056501609</v>
      </c>
      <c r="P13" s="156"/>
    </row>
    <row r="14" spans="1:17" x14ac:dyDescent="0.25">
      <c r="A14" s="80" t="s">
        <v>854</v>
      </c>
      <c r="B14" s="80" t="s">
        <v>9</v>
      </c>
      <c r="C14" s="80"/>
      <c r="D14" s="190">
        <f>IFERROR(D12*Assumptions!D80,"")</f>
        <v>249.75</v>
      </c>
      <c r="E14" s="190">
        <f>IFERROR(E12*Assumptions!E80,"")</f>
        <v>327.59999999999997</v>
      </c>
      <c r="F14" s="190">
        <f>IFERROR(F12*Assumptions!F80,"")</f>
        <v>567.44999999999993</v>
      </c>
      <c r="G14" s="190">
        <f>IFERROR(G12*Assumptions!G80,"")</f>
        <v>1055.7</v>
      </c>
      <c r="H14" s="190">
        <f>IFERROR(H12*Assumptions!H80,"")</f>
        <v>2339.2777309188828</v>
      </c>
      <c r="I14" s="190">
        <f>IFERROR(I12*Assumptions!I80,"")</f>
        <v>2979.5658264219878</v>
      </c>
      <c r="J14" s="190">
        <f>IFERROR(J12*Assumptions!J80,"")</f>
        <v>3676.8795906515807</v>
      </c>
      <c r="K14" s="190">
        <f>IFERROR(K12*Assumptions!K80,"")</f>
        <v>4319.4779599955145</v>
      </c>
      <c r="L14" s="190">
        <f>IFERROR(L12*Assumptions!L80,"")</f>
        <v>4848.9925594556435</v>
      </c>
      <c r="M14" s="190">
        <f>IFERROR(M12*Assumptions!M80,"")</f>
        <v>5229.9621784132405</v>
      </c>
      <c r="N14" s="190">
        <f>IFERROR(N12*Assumptions!N80,"")</f>
        <v>5428.5883386251726</v>
      </c>
      <c r="O14" s="190">
        <f>IFERROR(O12*Assumptions!O80,"")</f>
        <v>5840.2872402795529</v>
      </c>
      <c r="P14" s="156"/>
    </row>
    <row r="15" spans="1:17" x14ac:dyDescent="0.25">
      <c r="A15" s="80" t="s">
        <v>855</v>
      </c>
      <c r="B15" s="80" t="s">
        <v>9</v>
      </c>
      <c r="C15" s="80"/>
      <c r="D15" s="190">
        <f>IFERROR(D12*Assumptions!D81,"")</f>
        <v>199.79999999999998</v>
      </c>
      <c r="E15" s="190">
        <f>IFERROR(E12*Assumptions!E81,"")</f>
        <v>262.08</v>
      </c>
      <c r="F15" s="190">
        <f>IFERROR(F12*Assumptions!F81,"")</f>
        <v>453.96</v>
      </c>
      <c r="G15" s="190">
        <f>IFERROR(G12*Assumptions!G81,"")</f>
        <v>844.56</v>
      </c>
      <c r="H15" s="190">
        <f>IFERROR(H12*Assumptions!H81,"")</f>
        <v>1871.4221847351064</v>
      </c>
      <c r="I15" s="190">
        <f>IFERROR(I12*Assumptions!I81,"")</f>
        <v>2383.6526611375903</v>
      </c>
      <c r="J15" s="190">
        <f>IFERROR(J12*Assumptions!J81,"")</f>
        <v>2941.5036725212644</v>
      </c>
      <c r="K15" s="190">
        <f>IFERROR(K12*Assumptions!K81,"")</f>
        <v>3455.5823679964119</v>
      </c>
      <c r="L15" s="190">
        <f>IFERROR(L12*Assumptions!L81,"")</f>
        <v>3879.1940475645147</v>
      </c>
      <c r="M15" s="190">
        <f>IFERROR(M12*Assumptions!M81,"")</f>
        <v>4183.9697427305928</v>
      </c>
      <c r="N15" s="190">
        <f>IFERROR(N12*Assumptions!N81,"")</f>
        <v>4342.8706709001381</v>
      </c>
      <c r="O15" s="190">
        <f>IFERROR(O12*Assumptions!O81,"")</f>
        <v>4672.2297922236421</v>
      </c>
      <c r="P15" s="156"/>
    </row>
    <row r="16" spans="1:17" x14ac:dyDescent="0.25">
      <c r="A16" s="80" t="s">
        <v>856</v>
      </c>
      <c r="B16" s="80" t="s">
        <v>9</v>
      </c>
      <c r="C16" s="80"/>
      <c r="D16" s="190">
        <f>IFERROR(D12*Assumptions!D82,"")</f>
        <v>133.19999999999999</v>
      </c>
      <c r="E16" s="190">
        <f>IFERROR(E12*Assumptions!E82,"")</f>
        <v>174.72</v>
      </c>
      <c r="F16" s="190">
        <f>IFERROR(F12*Assumptions!F82,"")</f>
        <v>302.64</v>
      </c>
      <c r="G16" s="190">
        <f>IFERROR(G12*Assumptions!G82,"")</f>
        <v>563.04</v>
      </c>
      <c r="H16" s="190">
        <f>IFERROR(H12*Assumptions!H82,"")</f>
        <v>1247.6147898234044</v>
      </c>
      <c r="I16" s="190">
        <f>IFERROR(I12*Assumptions!I82,"")</f>
        <v>1589.1017740917271</v>
      </c>
      <c r="J16" s="190">
        <f>IFERROR(J12*Assumptions!J82,"")</f>
        <v>1961.0024483475099</v>
      </c>
      <c r="K16" s="190">
        <f>IFERROR(K12*Assumptions!K82,"")</f>
        <v>2303.7215786642746</v>
      </c>
      <c r="L16" s="190">
        <f>IFERROR(L12*Assumptions!L82,"")</f>
        <v>2586.1293650430098</v>
      </c>
      <c r="M16" s="190">
        <f>IFERROR(M12*Assumptions!M82,"")</f>
        <v>2789.3131618203952</v>
      </c>
      <c r="N16" s="190">
        <f>IFERROR(N12*Assumptions!N82,"")</f>
        <v>2895.2471139334252</v>
      </c>
      <c r="O16" s="190">
        <f>IFERROR(O12*Assumptions!O82,"")</f>
        <v>3114.8198614824287</v>
      </c>
      <c r="P16" s="156"/>
    </row>
    <row r="17" spans="1:16" x14ac:dyDescent="0.25">
      <c r="A17" s="80" t="s">
        <v>857</v>
      </c>
      <c r="B17" s="80" t="s">
        <v>9</v>
      </c>
      <c r="C17" s="80"/>
      <c r="D17" s="151">
        <f t="shared" ref="D17:O17" si="1">IFERROR(D12-SUM(D13:D16),"")</f>
        <v>799.2</v>
      </c>
      <c r="E17" s="151">
        <f t="shared" si="1"/>
        <v>1048.32</v>
      </c>
      <c r="F17" s="151">
        <f t="shared" si="1"/>
        <v>1815.8400000000001</v>
      </c>
      <c r="G17" s="151">
        <f t="shared" si="1"/>
        <v>3378.2400000000002</v>
      </c>
      <c r="H17" s="151">
        <f t="shared" si="1"/>
        <v>7485.6887389404255</v>
      </c>
      <c r="I17" s="151">
        <f t="shared" si="1"/>
        <v>9534.6106445503628</v>
      </c>
      <c r="J17" s="151">
        <f t="shared" si="1"/>
        <v>11766.01469008506</v>
      </c>
      <c r="K17" s="151">
        <f t="shared" si="1"/>
        <v>13822.329471985649</v>
      </c>
      <c r="L17" s="151">
        <f t="shared" si="1"/>
        <v>15516.776190258057</v>
      </c>
      <c r="M17" s="151">
        <f t="shared" si="1"/>
        <v>16735.878970922371</v>
      </c>
      <c r="N17" s="151">
        <f t="shared" si="1"/>
        <v>17371.482683600549</v>
      </c>
      <c r="O17" s="151">
        <f t="shared" si="1"/>
        <v>18688.919168894568</v>
      </c>
      <c r="P17" s="156"/>
    </row>
    <row r="18" spans="1:16" x14ac:dyDescent="0.25">
      <c r="A18" s="80"/>
      <c r="B18" s="80"/>
      <c r="C18" s="80"/>
      <c r="D18" s="65"/>
      <c r="E18" s="65"/>
      <c r="F18" s="65"/>
      <c r="G18" s="65"/>
      <c r="H18" s="69"/>
      <c r="I18" s="69"/>
      <c r="J18" s="69"/>
      <c r="K18" s="69"/>
      <c r="L18" s="69"/>
      <c r="M18" s="69"/>
      <c r="N18" s="69"/>
      <c r="O18" s="69"/>
      <c r="P18" s="156"/>
    </row>
    <row r="19" spans="1:16" x14ac:dyDescent="0.25">
      <c r="A19" s="3" t="s">
        <v>424</v>
      </c>
      <c r="B19" t="s">
        <v>9</v>
      </c>
      <c r="D19" s="325">
        <f t="shared" ref="D19:O19" si="2">D6+D7+D8+D11+D12</f>
        <v>8289</v>
      </c>
      <c r="E19" s="325">
        <f t="shared" si="2"/>
        <v>12072</v>
      </c>
      <c r="F19" s="325">
        <f t="shared" si="2"/>
        <v>19606</v>
      </c>
      <c r="G19" s="325">
        <f t="shared" si="2"/>
        <v>53156</v>
      </c>
      <c r="H19" s="325">
        <f t="shared" si="2"/>
        <v>135837.74300214052</v>
      </c>
      <c r="I19" s="325">
        <f t="shared" si="2"/>
        <v>185114.90571756189</v>
      </c>
      <c r="J19" s="325">
        <f t="shared" si="2"/>
        <v>246696.59193617917</v>
      </c>
      <c r="K19" s="325">
        <f t="shared" si="2"/>
        <v>316271.48376115831</v>
      </c>
      <c r="L19" s="325">
        <f t="shared" si="2"/>
        <v>392536.75868739479</v>
      </c>
      <c r="M19" s="325">
        <f t="shared" si="2"/>
        <v>477441.10593980196</v>
      </c>
      <c r="N19" s="325">
        <f t="shared" si="2"/>
        <v>568965.77929440211</v>
      </c>
      <c r="O19" s="325">
        <f t="shared" si="2"/>
        <v>656066.20147813752</v>
      </c>
      <c r="P19" s="158"/>
    </row>
    <row r="20" spans="1:16" x14ac:dyDescent="0.25">
      <c r="A20" s="3" t="s">
        <v>831</v>
      </c>
      <c r="B20" t="s">
        <v>9</v>
      </c>
      <c r="D20" s="325">
        <f>D5-D19</f>
        <v>-1210</v>
      </c>
      <c r="E20" s="325">
        <f>E5-E19</f>
        <v>42</v>
      </c>
      <c r="F20" s="325">
        <f>F5-F19</f>
        <v>637</v>
      </c>
      <c r="G20" s="325">
        <f>G5-G19</f>
        <v>1208</v>
      </c>
      <c r="H20" s="325">
        <f>H5-H19</f>
        <v>-5291.1409621405182</v>
      </c>
      <c r="I20" s="325">
        <f t="shared" ref="I20:O20" si="3">I5-I19</f>
        <v>-3645.4178935619129</v>
      </c>
      <c r="J20" s="325">
        <f t="shared" si="3"/>
        <v>-242.08899289919646</v>
      </c>
      <c r="K20" s="325">
        <f t="shared" si="3"/>
        <v>5618.7829597856617</v>
      </c>
      <c r="L20" s="325">
        <f t="shared" si="3"/>
        <v>14288.605916285247</v>
      </c>
      <c r="M20" s="325">
        <f t="shared" si="3"/>
        <v>24517.963356797991</v>
      </c>
      <c r="N20" s="325">
        <f t="shared" si="3"/>
        <v>39681.70819939801</v>
      </c>
      <c r="O20" s="325">
        <f t="shared" si="3"/>
        <v>51847.40340423258</v>
      </c>
      <c r="P20" s="158"/>
    </row>
    <row r="21" spans="1:16" ht="30" x14ac:dyDescent="0.25">
      <c r="A21" t="s">
        <v>1471</v>
      </c>
      <c r="B21" t="s">
        <v>9</v>
      </c>
      <c r="D21" s="59">
        <f>ROUND(D20-IS!D16,2)</f>
        <v>0</v>
      </c>
      <c r="E21" s="59">
        <f>ROUND(E20-IS!E16,2)</f>
        <v>0</v>
      </c>
      <c r="F21" s="59">
        <f>ROUND(F20-IS!F16,2)</f>
        <v>0</v>
      </c>
      <c r="G21" s="59">
        <f>ROUND(G20-IS!G16,2)</f>
        <v>0</v>
      </c>
      <c r="H21" s="59">
        <f>ROUND(H20-IS!H16,2)</f>
        <v>0</v>
      </c>
      <c r="I21" s="59">
        <f>ROUND(I20-IS!I16,2)</f>
        <v>0</v>
      </c>
      <c r="J21" s="59">
        <f>ROUND(J20-IS!J16,2)</f>
        <v>0</v>
      </c>
      <c r="K21" s="59">
        <f>ROUND(K20-IS!K16,2)</f>
        <v>0</v>
      </c>
      <c r="L21" s="59">
        <f>ROUND(L20-IS!L16,2)</f>
        <v>0</v>
      </c>
      <c r="M21" s="59">
        <f>ROUND(M20-IS!M16,2)</f>
        <v>0</v>
      </c>
      <c r="N21" s="59">
        <f>ROUND(N20-IS!N16,2)</f>
        <v>0</v>
      </c>
      <c r="O21" s="59">
        <f>ROUND(O20-IS!O16,2)</f>
        <v>0</v>
      </c>
      <c r="P21" s="128" t="s">
        <v>425</v>
      </c>
    </row>
    <row r="22" spans="1:16" x14ac:dyDescent="0.25">
      <c r="H22" s="70"/>
      <c r="I22" s="70"/>
      <c r="J22" s="70"/>
      <c r="K22" s="70"/>
      <c r="L22" s="70"/>
      <c r="M22" s="70"/>
      <c r="N22" s="70"/>
      <c r="O22" s="70"/>
      <c r="P22" s="158"/>
    </row>
    <row r="23" spans="1:16" x14ac:dyDescent="0.25">
      <c r="A23" s="8" t="s">
        <v>829</v>
      </c>
      <c r="H23" s="70"/>
      <c r="I23" s="70"/>
      <c r="J23" s="70"/>
      <c r="K23" s="70"/>
      <c r="L23" s="70"/>
      <c r="M23" s="70"/>
      <c r="N23" s="70"/>
      <c r="O23" s="70"/>
      <c r="P23" s="158"/>
    </row>
    <row r="24" spans="1:16" x14ac:dyDescent="0.25">
      <c r="A24" t="s">
        <v>426</v>
      </c>
      <c r="B24" t="s">
        <v>13</v>
      </c>
      <c r="D24" s="60">
        <f>D6/D5</f>
        <v>0.19706173188303433</v>
      </c>
      <c r="E24" s="60">
        <f>E6/E5</f>
        <v>0.23790655439986791</v>
      </c>
      <c r="F24" s="60">
        <f>F6/F5</f>
        <v>0.27490984537864943</v>
      </c>
      <c r="G24" s="60">
        <f>G6/G5</f>
        <v>0.55490765948053855</v>
      </c>
      <c r="H24" s="60">
        <f>H6/H5</f>
        <v>0.63954592226320961</v>
      </c>
      <c r="I24" s="60">
        <f t="shared" ref="I24:O24" si="4">I6/I5</f>
        <v>0.63950083505251398</v>
      </c>
      <c r="J24" s="60">
        <f t="shared" si="4"/>
        <v>0.6417076905525142</v>
      </c>
      <c r="K24" s="60">
        <f t="shared" si="4"/>
        <v>0.64146233583696377</v>
      </c>
      <c r="L24" s="60">
        <f t="shared" si="4"/>
        <v>0.64091822121565301</v>
      </c>
      <c r="M24" s="60">
        <f t="shared" si="4"/>
        <v>0.64430491014194469</v>
      </c>
      <c r="N24" s="60">
        <f t="shared" si="4"/>
        <v>0.64197764445112926</v>
      </c>
      <c r="O24" s="60">
        <f t="shared" si="4"/>
        <v>0.64343920364689544</v>
      </c>
      <c r="P24" s="158"/>
    </row>
    <row r="25" spans="1:16" x14ac:dyDescent="0.25">
      <c r="A25" t="s">
        <v>420</v>
      </c>
      <c r="B25" t="s">
        <v>13</v>
      </c>
      <c r="D25" s="60">
        <f>D7/D5</f>
        <v>0.3583839525356689</v>
      </c>
      <c r="E25" s="60">
        <f>E7/E5</f>
        <v>0.32317979197622587</v>
      </c>
      <c r="F25" s="60">
        <f>F7/F5</f>
        <v>0.28296201155955147</v>
      </c>
      <c r="G25" s="60">
        <f>G7/G5</f>
        <v>0.16674637627841954</v>
      </c>
      <c r="H25" s="60">
        <f>H7/H5</f>
        <v>0.16379582432093465</v>
      </c>
      <c r="I25" s="60">
        <f t="shared" ref="I25:O25" si="5">I7/I5</f>
        <v>0.16062984982708306</v>
      </c>
      <c r="J25" s="60">
        <f t="shared" si="5"/>
        <v>0.15752497735799412</v>
      </c>
      <c r="K25" s="60">
        <f t="shared" si="5"/>
        <v>0.15445053814165327</v>
      </c>
      <c r="L25" s="60">
        <f t="shared" si="5"/>
        <v>0.15140517422411107</v>
      </c>
      <c r="M25" s="60">
        <f t="shared" si="5"/>
        <v>0.14836866896581211</v>
      </c>
      <c r="N25" s="60">
        <f t="shared" si="5"/>
        <v>0.14636498219551064</v>
      </c>
      <c r="O25" s="60">
        <f t="shared" si="5"/>
        <v>0.14334057789376087</v>
      </c>
      <c r="P25" s="158"/>
    </row>
    <row r="26" spans="1:16" x14ac:dyDescent="0.25">
      <c r="A26" t="s">
        <v>427</v>
      </c>
      <c r="B26" t="s">
        <v>13</v>
      </c>
      <c r="D26" s="60">
        <f>D8/D5</f>
        <v>0.20695013419974573</v>
      </c>
      <c r="E26" s="60">
        <f>E8/E5</f>
        <v>0.1369489846458643</v>
      </c>
      <c r="F26" s="60">
        <f>F8/F5</f>
        <v>0.12636466926838907</v>
      </c>
      <c r="G26" s="60">
        <f>G8/G5</f>
        <v>6.5043043190346553E-2</v>
      </c>
      <c r="H26" s="60">
        <f>H8/H5</f>
        <v>5.9375986316338808E-2</v>
      </c>
      <c r="I26" s="60">
        <f t="shared" ref="I26:O26" si="6">I8/I5</f>
        <v>5.5248483380015832E-2</v>
      </c>
      <c r="J26" s="60">
        <f t="shared" si="6"/>
        <v>5.114447316817991E-2</v>
      </c>
      <c r="K26" s="60">
        <f t="shared" si="6"/>
        <v>4.8074008560647051E-2</v>
      </c>
      <c r="L26" s="60">
        <f t="shared" si="6"/>
        <v>4.6035357027601337E-2</v>
      </c>
      <c r="M26" s="60">
        <f t="shared" si="6"/>
        <v>4.3998984589861526E-2</v>
      </c>
      <c r="N26" s="60">
        <f t="shared" si="6"/>
        <v>4.2988316449031103E-2</v>
      </c>
      <c r="O26" s="60">
        <f t="shared" si="6"/>
        <v>4.1978312097458538E-2</v>
      </c>
      <c r="P26" s="158"/>
    </row>
    <row r="27" spans="1:16" x14ac:dyDescent="0.25">
      <c r="A27" t="s">
        <v>422</v>
      </c>
      <c r="B27" t="s">
        <v>13</v>
      </c>
      <c r="D27" s="60">
        <f>D11/D5</f>
        <v>0.17332956632292695</v>
      </c>
      <c r="E27" s="60">
        <f>E11/E5</f>
        <v>0.1182103351494139</v>
      </c>
      <c r="F27" s="60">
        <f>F11/F5</f>
        <v>9.7416390851158427E-2</v>
      </c>
      <c r="G27" s="60">
        <f>G11/G5</f>
        <v>6.1621661393569276E-2</v>
      </c>
      <c r="H27" s="60">
        <f>H11/H5</f>
        <v>5.8352262414332966E-2</v>
      </c>
      <c r="I27" s="60">
        <f t="shared" ref="I27:O27" si="7">I11/I5</f>
        <v>5.5248483380015832E-2</v>
      </c>
      <c r="J27" s="60">
        <f t="shared" si="7"/>
        <v>5.114447316817991E-2</v>
      </c>
      <c r="K27" s="60">
        <f t="shared" si="7"/>
        <v>4.9096859806618265E-2</v>
      </c>
      <c r="L27" s="60">
        <f t="shared" si="7"/>
        <v>4.7058364961548034E-2</v>
      </c>
      <c r="M27" s="60">
        <f t="shared" si="7"/>
        <v>4.5022216789625744E-2</v>
      </c>
      <c r="N27" s="60">
        <f t="shared" si="7"/>
        <v>4.4011847793055642E-2</v>
      </c>
      <c r="O27" s="60">
        <f t="shared" si="7"/>
        <v>4.3002173368128255E-2</v>
      </c>
      <c r="P27" s="158"/>
    </row>
    <row r="28" spans="1:16" x14ac:dyDescent="0.25">
      <c r="A28" t="s">
        <v>428</v>
      </c>
      <c r="B28" t="s">
        <v>13</v>
      </c>
      <c r="D28" s="60">
        <f>D12/D5</f>
        <v>0.23520271224749259</v>
      </c>
      <c r="E28" s="60">
        <f>E12/E5</f>
        <v>0.18028727092620109</v>
      </c>
      <c r="F28" s="60">
        <f>F12/F5</f>
        <v>0.18687941510645656</v>
      </c>
      <c r="G28" s="60">
        <f>G12/G5</f>
        <v>0.12946067250386284</v>
      </c>
      <c r="H28" s="60">
        <f>H12/H5</f>
        <v>0.11946067250386284</v>
      </c>
      <c r="I28" s="60">
        <f t="shared" ref="I28:O28" si="8">I12/I5</f>
        <v>0.10946067250386284</v>
      </c>
      <c r="J28" s="60">
        <f t="shared" si="8"/>
        <v>9.9460672503862854E-2</v>
      </c>
      <c r="K28" s="60">
        <f t="shared" si="8"/>
        <v>8.9460672503862859E-2</v>
      </c>
      <c r="L28" s="60">
        <f t="shared" si="8"/>
        <v>7.9460672503862864E-2</v>
      </c>
      <c r="M28" s="60">
        <f t="shared" si="8"/>
        <v>6.9460672503862869E-2</v>
      </c>
      <c r="N28" s="60">
        <f t="shared" si="8"/>
        <v>5.946067250386286E-2</v>
      </c>
      <c r="O28" s="60">
        <f t="shared" si="8"/>
        <v>5.5E-2</v>
      </c>
      <c r="P28" s="158"/>
    </row>
    <row r="29" spans="1:16" x14ac:dyDescent="0.25">
      <c r="D29" s="16"/>
      <c r="E29" s="16"/>
      <c r="F29" s="16"/>
      <c r="G29" s="16"/>
      <c r="H29" s="106"/>
      <c r="I29" s="106"/>
      <c r="J29" s="106"/>
      <c r="K29" s="106"/>
      <c r="L29" s="106"/>
      <c r="M29" s="106"/>
      <c r="N29" s="106"/>
      <c r="O29" s="106"/>
      <c r="P29" s="158"/>
    </row>
    <row r="30" spans="1:16" x14ac:dyDescent="0.25">
      <c r="A30" s="3" t="s">
        <v>832</v>
      </c>
      <c r="B30" t="s">
        <v>13</v>
      </c>
      <c r="D30" s="334">
        <f>D19/D5</f>
        <v>1.1709280971888685</v>
      </c>
      <c r="E30" s="334">
        <f>E19/E5</f>
        <v>0.99653293709757307</v>
      </c>
      <c r="F30" s="334">
        <f>F19/F5</f>
        <v>0.96853233216420487</v>
      </c>
      <c r="G30" s="334">
        <f>G19/G5</f>
        <v>0.97777941284673686</v>
      </c>
      <c r="H30" s="334">
        <f>H19/H5</f>
        <v>1.040530667818679</v>
      </c>
      <c r="I30" s="334">
        <f t="shared" ref="I30:O30" si="9">I19/I5</f>
        <v>1.0200883241434915</v>
      </c>
      <c r="J30" s="334">
        <f t="shared" si="9"/>
        <v>1.000982286750731</v>
      </c>
      <c r="K30" s="334">
        <f t="shared" si="9"/>
        <v>0.9825444148497452</v>
      </c>
      <c r="L30" s="334">
        <f t="shared" si="9"/>
        <v>0.96487778993277651</v>
      </c>
      <c r="M30" s="334">
        <f t="shared" si="9"/>
        <v>0.95115545299110693</v>
      </c>
      <c r="N30" s="334">
        <f t="shared" si="9"/>
        <v>0.93480346339258946</v>
      </c>
      <c r="O30" s="334">
        <f t="shared" si="9"/>
        <v>0.92676026700624325</v>
      </c>
      <c r="P30" s="158"/>
    </row>
    <row r="31" spans="1:16" s="75" customFormat="1" x14ac:dyDescent="0.25">
      <c r="A31" s="75" t="s">
        <v>830</v>
      </c>
      <c r="B31" s="75" t="s">
        <v>13</v>
      </c>
      <c r="D31" s="290">
        <f>D20/D5</f>
        <v>-0.17092809718886848</v>
      </c>
      <c r="E31" s="290">
        <f>E20/E5</f>
        <v>3.4670629024269439E-3</v>
      </c>
      <c r="F31" s="290">
        <f>F20/F5</f>
        <v>3.1467667835795091E-2</v>
      </c>
      <c r="G31" s="290">
        <f>G20/G5</f>
        <v>2.222058715326319E-2</v>
      </c>
      <c r="H31" s="290">
        <f>H20/H5</f>
        <v>-4.0530667818678971E-2</v>
      </c>
      <c r="I31" s="290">
        <f t="shared" ref="I31:O31" si="10">I20/I5</f>
        <v>-2.0088324143491595E-2</v>
      </c>
      <c r="J31" s="290">
        <f t="shared" si="10"/>
        <v>-9.8228675073107428E-4</v>
      </c>
      <c r="K31" s="290">
        <f t="shared" si="10"/>
        <v>1.7455585150254787E-2</v>
      </c>
      <c r="L31" s="290">
        <f t="shared" si="10"/>
        <v>3.5122210067223512E-2</v>
      </c>
      <c r="M31" s="290">
        <f t="shared" si="10"/>
        <v>4.8844547008893069E-2</v>
      </c>
      <c r="N31" s="290">
        <f t="shared" si="10"/>
        <v>6.519653660741058E-2</v>
      </c>
      <c r="O31" s="290">
        <f t="shared" si="10"/>
        <v>7.3239732993756718E-2</v>
      </c>
      <c r="P31" s="128"/>
    </row>
    <row r="32" spans="1:16" x14ac:dyDescent="0.25">
      <c r="H32" s="70"/>
      <c r="I32" s="70"/>
      <c r="J32" s="70"/>
      <c r="K32" s="70"/>
      <c r="L32" s="70"/>
      <c r="M32" s="70"/>
      <c r="N32" s="70"/>
      <c r="O32" s="70"/>
      <c r="P32" s="158"/>
    </row>
    <row r="33" spans="1:16" x14ac:dyDescent="0.25">
      <c r="H33" s="70"/>
      <c r="I33" s="70"/>
      <c r="J33" s="70"/>
      <c r="K33" s="70"/>
      <c r="L33" s="70"/>
      <c r="M33" s="70"/>
      <c r="N33" s="70"/>
      <c r="O33" s="70"/>
      <c r="P33" s="158"/>
    </row>
    <row r="34" spans="1:16" x14ac:dyDescent="0.25">
      <c r="A34" s="8" t="s">
        <v>429</v>
      </c>
      <c r="H34" s="70"/>
      <c r="I34" s="70"/>
      <c r="J34" s="70"/>
      <c r="K34" s="70"/>
      <c r="L34" s="70"/>
      <c r="M34" s="70"/>
      <c r="N34" s="70"/>
      <c r="O34" s="70"/>
      <c r="P34" s="158"/>
    </row>
    <row r="35" spans="1:16" x14ac:dyDescent="0.25">
      <c r="A35" s="8"/>
      <c r="H35" s="70"/>
      <c r="I35" s="70"/>
      <c r="J35" s="70"/>
      <c r="K35" s="70"/>
      <c r="L35" s="70"/>
      <c r="M35" s="70"/>
      <c r="N35" s="70"/>
      <c r="O35" s="70"/>
      <c r="P35" s="158"/>
    </row>
    <row r="36" spans="1:16" x14ac:dyDescent="0.25">
      <c r="A36" t="s">
        <v>920</v>
      </c>
      <c r="B36" t="s">
        <v>9</v>
      </c>
      <c r="D36" s="292">
        <f>D5-D6</f>
        <v>5684</v>
      </c>
      <c r="E36" s="292">
        <f>E5-E6</f>
        <v>9232</v>
      </c>
      <c r="F36" s="292">
        <f>F5-F6</f>
        <v>14678</v>
      </c>
      <c r="G36" s="292">
        <f>G5-G6</f>
        <v>24197</v>
      </c>
      <c r="H36" s="292">
        <f>H5-H6</f>
        <v>47056.055039999992</v>
      </c>
      <c r="I36" s="292">
        <f t="shared" ref="I36:O36" si="11">I5-I6</f>
        <v>65419.598823999972</v>
      </c>
      <c r="J36" s="292">
        <f t="shared" si="11"/>
        <v>88302.753033279965</v>
      </c>
      <c r="K36" s="292">
        <f t="shared" si="11"/>
        <v>115409.78434694398</v>
      </c>
      <c r="L36" s="292">
        <f t="shared" si="11"/>
        <v>146083.57557647995</v>
      </c>
      <c r="M36" s="292">
        <f t="shared" si="11"/>
        <v>178544.37625851994</v>
      </c>
      <c r="N36" s="292">
        <f t="shared" si="11"/>
        <v>217909.40717143216</v>
      </c>
      <c r="O36" s="292">
        <f t="shared" si="11"/>
        <v>252414.23870605486</v>
      </c>
      <c r="P36" s="158"/>
    </row>
    <row r="37" spans="1:16" s="75" customFormat="1" x14ac:dyDescent="0.25">
      <c r="A37" s="75" t="s">
        <v>430</v>
      </c>
      <c r="B37" s="75" t="s">
        <v>13</v>
      </c>
      <c r="D37" s="290">
        <f>D36/D5</f>
        <v>0.80293826811696567</v>
      </c>
      <c r="E37" s="290">
        <f>E36/E5</f>
        <v>0.76209344560013204</v>
      </c>
      <c r="F37" s="290">
        <f>F36/F5</f>
        <v>0.72509015462135062</v>
      </c>
      <c r="G37" s="290">
        <f>G36/G5</f>
        <v>0.44509234051946139</v>
      </c>
      <c r="H37" s="290">
        <f>H36/H5</f>
        <v>0.36045407773679033</v>
      </c>
      <c r="I37" s="290">
        <f t="shared" ref="I37:O37" si="12">I36/I5</f>
        <v>0.36049916494748602</v>
      </c>
      <c r="J37" s="290">
        <f t="shared" si="12"/>
        <v>0.3582923094474858</v>
      </c>
      <c r="K37" s="290">
        <f t="shared" si="12"/>
        <v>0.35853766416303628</v>
      </c>
      <c r="L37" s="290">
        <f t="shared" si="12"/>
        <v>0.35908177878434699</v>
      </c>
      <c r="M37" s="290">
        <f t="shared" si="12"/>
        <v>0.35569508985805531</v>
      </c>
      <c r="N37" s="290">
        <f t="shared" si="12"/>
        <v>0.35802235554887074</v>
      </c>
      <c r="O37" s="290">
        <f t="shared" si="12"/>
        <v>0.3565607963531045</v>
      </c>
      <c r="P37" s="128"/>
    </row>
    <row r="38" spans="1:16" x14ac:dyDescent="0.25">
      <c r="D38" s="16"/>
      <c r="E38" s="16"/>
      <c r="F38" s="16"/>
      <c r="G38" s="16"/>
      <c r="H38" s="106"/>
      <c r="I38" s="106"/>
      <c r="J38" s="106"/>
      <c r="K38" s="106"/>
      <c r="L38" s="106"/>
      <c r="M38" s="106"/>
      <c r="N38" s="106"/>
      <c r="O38" s="106"/>
      <c r="P38" s="158"/>
    </row>
    <row r="39" spans="1:16" x14ac:dyDescent="0.25">
      <c r="A39" t="s">
        <v>431</v>
      </c>
      <c r="B39" t="s">
        <v>9</v>
      </c>
      <c r="D39" s="292">
        <f>D36-D7</f>
        <v>3147</v>
      </c>
      <c r="E39" s="292">
        <f>E36-E7</f>
        <v>5317</v>
      </c>
      <c r="F39" s="292">
        <f>F36-F7</f>
        <v>8950</v>
      </c>
      <c r="G39" s="292">
        <f>G36-G7</f>
        <v>15132</v>
      </c>
      <c r="H39" s="292">
        <f>H36-H7</f>
        <v>25673.066746561184</v>
      </c>
      <c r="I39" s="292">
        <f t="shared" ref="I39:O39" si="13">I36-I7</f>
        <v>36270.18224663318</v>
      </c>
      <c r="J39" s="292">
        <f t="shared" si="13"/>
        <v>49480.013037364093</v>
      </c>
      <c r="K39" s="292">
        <f t="shared" si="13"/>
        <v>65693.659429333886</v>
      </c>
      <c r="L39" s="292">
        <f t="shared" si="13"/>
        <v>84488.110369872273</v>
      </c>
      <c r="M39" s="292">
        <f t="shared" si="13"/>
        <v>104069.37727166557</v>
      </c>
      <c r="N39" s="292">
        <f t="shared" si="13"/>
        <v>128824.72850105983</v>
      </c>
      <c r="O39" s="292">
        <f t="shared" si="13"/>
        <v>150941.49348336045</v>
      </c>
      <c r="P39" s="158"/>
    </row>
    <row r="40" spans="1:16" s="75" customFormat="1" x14ac:dyDescent="0.25">
      <c r="A40" s="75" t="s">
        <v>824</v>
      </c>
      <c r="B40" s="75" t="s">
        <v>13</v>
      </c>
      <c r="D40" s="290">
        <f>D39/D5</f>
        <v>0.44455431558129677</v>
      </c>
      <c r="E40" s="290">
        <f>E39/E5</f>
        <v>0.43891365362390622</v>
      </c>
      <c r="F40" s="290">
        <f>F39/F5</f>
        <v>0.44212814306179915</v>
      </c>
      <c r="G40" s="290">
        <f>G39/G5</f>
        <v>0.27834596424104185</v>
      </c>
      <c r="H40" s="290">
        <f>H39/H5</f>
        <v>0.19665825341585569</v>
      </c>
      <c r="I40" s="290">
        <f t="shared" ref="I40:O40" si="14">I39/I5</f>
        <v>0.19986931512040296</v>
      </c>
      <c r="J40" s="290">
        <f t="shared" si="14"/>
        <v>0.20076733208949166</v>
      </c>
      <c r="K40" s="290">
        <f t="shared" si="14"/>
        <v>0.20408712602138301</v>
      </c>
      <c r="L40" s="290">
        <f t="shared" si="14"/>
        <v>0.20767660456023596</v>
      </c>
      <c r="M40" s="290">
        <f t="shared" si="14"/>
        <v>0.20732642089224324</v>
      </c>
      <c r="N40" s="290">
        <f t="shared" si="14"/>
        <v>0.2116573733533601</v>
      </c>
      <c r="O40" s="290">
        <f t="shared" si="14"/>
        <v>0.21322021845934366</v>
      </c>
      <c r="P40" s="128"/>
    </row>
    <row r="41" spans="1:16" x14ac:dyDescent="0.25">
      <c r="D41" s="16"/>
      <c r="E41" s="16"/>
      <c r="F41" s="16"/>
      <c r="G41" s="16"/>
      <c r="H41" s="106"/>
      <c r="I41" s="106"/>
      <c r="J41" s="106"/>
      <c r="K41" s="106"/>
      <c r="L41" s="106"/>
      <c r="M41" s="106"/>
      <c r="N41" s="106"/>
      <c r="O41" s="106"/>
      <c r="P41" s="158"/>
    </row>
    <row r="42" spans="1:16" x14ac:dyDescent="0.25">
      <c r="A42" t="s">
        <v>432</v>
      </c>
      <c r="B42" t="s">
        <v>9</v>
      </c>
      <c r="D42" s="292">
        <f>D8+D11+D12</f>
        <v>4357</v>
      </c>
      <c r="E42" s="292">
        <f>E8+E11+E12</f>
        <v>5275</v>
      </c>
      <c r="F42" s="292">
        <f>F8+F11+F12</f>
        <v>8313</v>
      </c>
      <c r="G42" s="292">
        <f>G8+G11+G12</f>
        <v>13924</v>
      </c>
      <c r="H42" s="292">
        <f>H8+H11+H12</f>
        <v>30964.207708701695</v>
      </c>
      <c r="I42" s="292">
        <f t="shared" ref="I42:O42" si="15">I8+I11+I12</f>
        <v>39915.600140195085</v>
      </c>
      <c r="J42" s="292">
        <f t="shared" si="15"/>
        <v>49722.102030263268</v>
      </c>
      <c r="K42" s="292">
        <f t="shared" si="15"/>
        <v>60074.87646954821</v>
      </c>
      <c r="L42" s="292">
        <f t="shared" si="15"/>
        <v>70199.504453586938</v>
      </c>
      <c r="M42" s="292">
        <f t="shared" si="15"/>
        <v>79551.41391486756</v>
      </c>
      <c r="N42" s="292">
        <f t="shared" si="15"/>
        <v>89143.020301661862</v>
      </c>
      <c r="O42" s="292">
        <f t="shared" si="15"/>
        <v>99094.090079127753</v>
      </c>
      <c r="P42" s="158"/>
    </row>
    <row r="43" spans="1:16" s="75" customFormat="1" x14ac:dyDescent="0.25">
      <c r="A43" s="75" t="s">
        <v>824</v>
      </c>
      <c r="B43" s="75" t="s">
        <v>13</v>
      </c>
      <c r="D43" s="290">
        <f>D42/D5</f>
        <v>0.61548241277016524</v>
      </c>
      <c r="E43" s="290">
        <f>E42/E5</f>
        <v>0.43544659072147929</v>
      </c>
      <c r="F43" s="290">
        <f>F42/F5</f>
        <v>0.41066047522600407</v>
      </c>
      <c r="G43" s="290">
        <f>G42/G5</f>
        <v>0.25612537708777866</v>
      </c>
      <c r="H43" s="290">
        <f>H42/H5</f>
        <v>0.23718892123453461</v>
      </c>
      <c r="I43" s="290">
        <f t="shared" ref="I43:O43" si="16">I42/I5</f>
        <v>0.2199576392638945</v>
      </c>
      <c r="J43" s="290">
        <f t="shared" si="16"/>
        <v>0.20174961884022266</v>
      </c>
      <c r="K43" s="290">
        <f t="shared" si="16"/>
        <v>0.18663154087112818</v>
      </c>
      <c r="L43" s="290">
        <f t="shared" si="16"/>
        <v>0.17255439449301224</v>
      </c>
      <c r="M43" s="290">
        <f t="shared" si="16"/>
        <v>0.15848187388335014</v>
      </c>
      <c r="N43" s="290">
        <f t="shared" si="16"/>
        <v>0.14646083674594959</v>
      </c>
      <c r="O43" s="290">
        <f t="shared" si="16"/>
        <v>0.13998048546558678</v>
      </c>
      <c r="P43" s="128"/>
    </row>
    <row r="44" spans="1:16" s="75" customFormat="1" x14ac:dyDescent="0.25">
      <c r="D44" s="110"/>
      <c r="E44" s="110"/>
      <c r="F44" s="110"/>
      <c r="G44" s="110"/>
      <c r="H44" s="117"/>
      <c r="I44" s="117"/>
      <c r="J44" s="117"/>
      <c r="K44" s="117"/>
      <c r="L44" s="117"/>
      <c r="M44" s="117"/>
      <c r="N44" s="117"/>
      <c r="O44" s="117"/>
      <c r="P44" s="128"/>
    </row>
    <row r="45" spans="1:16" ht="30" x14ac:dyDescent="0.25">
      <c r="A45" t="s">
        <v>433</v>
      </c>
      <c r="B45" t="s">
        <v>13</v>
      </c>
      <c r="D45" s="16"/>
      <c r="E45" s="60">
        <f>(E20-D20)/(E5-D5)</f>
        <v>0.24865938430983117</v>
      </c>
      <c r="F45" s="60">
        <f>(F20-E20)/(F5-E5)</f>
        <v>7.3194734899741667E-2</v>
      </c>
      <c r="G45" s="60">
        <f>(G20-F20)/(G5-F5)</f>
        <v>1.673456229301603E-2</v>
      </c>
      <c r="H45" s="60">
        <f>(H20-G20)/(H5-G5)</f>
        <v>-8.5310041769485853E-2</v>
      </c>
      <c r="I45" s="60">
        <f t="shared" ref="I45:O45" si="17">(I20-H20)/(I5-H5)</f>
        <v>3.2317945914520287E-2</v>
      </c>
      <c r="J45" s="60">
        <f t="shared" si="17"/>
        <v>5.2370979593001653E-2</v>
      </c>
      <c r="K45" s="60">
        <f t="shared" si="17"/>
        <v>7.7693545596740174E-2</v>
      </c>
      <c r="L45" s="60">
        <f t="shared" si="17"/>
        <v>0.10207585759740222</v>
      </c>
      <c r="M45" s="60">
        <f t="shared" si="17"/>
        <v>0.10752611257526312</v>
      </c>
      <c r="N45" s="60">
        <f t="shared" si="17"/>
        <v>0.14213112443537909</v>
      </c>
      <c r="O45" s="60">
        <f t="shared" si="17"/>
        <v>0.12255637195129576</v>
      </c>
      <c r="P45" s="128" t="s">
        <v>434</v>
      </c>
    </row>
    <row r="46" spans="1:16" x14ac:dyDescent="0.25">
      <c r="A46" s="80"/>
      <c r="B46" s="80"/>
      <c r="C46" s="80"/>
      <c r="D46" s="60"/>
      <c r="E46" s="60"/>
      <c r="F46" s="60"/>
      <c r="G46" s="60"/>
      <c r="H46" s="60"/>
      <c r="I46" s="60"/>
      <c r="J46" s="60"/>
      <c r="K46" s="60"/>
      <c r="L46" s="60"/>
      <c r="M46" s="60"/>
      <c r="N46" s="60"/>
      <c r="O46" s="60"/>
      <c r="P46" s="90"/>
    </row>
    <row r="48" spans="1:16" x14ac:dyDescent="0.25">
      <c r="A48" s="8" t="s">
        <v>375</v>
      </c>
    </row>
    <row r="49" spans="1:1" x14ac:dyDescent="0.25">
      <c r="A49" t="s">
        <v>435</v>
      </c>
    </row>
    <row r="50" spans="1:1" x14ac:dyDescent="0.25">
      <c r="A50" t="s">
        <v>436</v>
      </c>
    </row>
    <row r="51" spans="1:1" x14ac:dyDescent="0.25">
      <c r="A51" t="s">
        <v>437</v>
      </c>
    </row>
    <row r="52" spans="1:1" x14ac:dyDescent="0.25">
      <c r="A52" t="s">
        <v>438</v>
      </c>
    </row>
    <row r="53" spans="1:1" x14ac:dyDescent="0.25">
      <c r="A53" t="s">
        <v>439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700E4-39C8-49AC-B74F-8F9A96C4C39A}">
  <dimension ref="A1:Q59"/>
  <sheetViews>
    <sheetView topLeftCell="A10" zoomScale="60" zoomScaleNormal="60" workbookViewId="0">
      <pane xSplit="2" topLeftCell="C1" activePane="topRight" state="frozen"/>
      <selection pane="topRight" activeCell="A28" sqref="A28:XFD28"/>
    </sheetView>
  </sheetViews>
  <sheetFormatPr defaultRowHeight="15" x14ac:dyDescent="0.25"/>
  <cols>
    <col min="1" max="1" width="70.42578125" bestFit="1" customWidth="1"/>
    <col min="2" max="2" width="9.5703125" customWidth="1"/>
    <col min="3" max="5" width="10.85546875" customWidth="1"/>
    <col min="6" max="15" width="14.140625" customWidth="1"/>
    <col min="16" max="16" width="76.42578125" style="24" customWidth="1"/>
    <col min="17" max="17" width="47.28515625" customWidth="1"/>
  </cols>
  <sheetData>
    <row r="1" spans="1:17" ht="18.75" x14ac:dyDescent="0.3">
      <c r="A1" s="5" t="s">
        <v>88</v>
      </c>
      <c r="Q1" s="3" t="s">
        <v>893</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3" spans="1:17" x14ac:dyDescent="0.25">
      <c r="A3" s="3"/>
      <c r="B3" s="3"/>
      <c r="C3" s="3"/>
      <c r="D3" s="11"/>
      <c r="E3" s="11"/>
      <c r="F3" s="11"/>
      <c r="G3" s="11"/>
      <c r="H3" s="11"/>
      <c r="I3" s="11"/>
      <c r="J3" s="11"/>
      <c r="K3" s="11"/>
      <c r="L3" s="11"/>
      <c r="M3" s="11"/>
      <c r="N3" s="11"/>
      <c r="O3" s="11"/>
      <c r="P3" s="154"/>
    </row>
    <row r="4" spans="1:17" x14ac:dyDescent="0.25">
      <c r="A4" s="3"/>
      <c r="B4" s="3"/>
      <c r="C4" s="3"/>
      <c r="D4" s="11"/>
      <c r="E4" s="11"/>
      <c r="F4" s="11"/>
      <c r="G4" s="11"/>
      <c r="H4" s="11"/>
      <c r="I4" s="11"/>
      <c r="J4" s="11"/>
      <c r="K4" s="11"/>
      <c r="L4" s="11"/>
      <c r="M4" s="11"/>
      <c r="N4" s="11"/>
      <c r="O4" s="11"/>
      <c r="P4" s="154"/>
    </row>
    <row r="5" spans="1:17" s="162" customFormat="1" x14ac:dyDescent="0.25">
      <c r="A5" s="160" t="s">
        <v>1403</v>
      </c>
      <c r="B5" s="160"/>
      <c r="C5" s="160"/>
      <c r="D5" s="163"/>
      <c r="E5" s="163"/>
      <c r="F5" s="163"/>
      <c r="G5" s="163"/>
      <c r="H5" s="164"/>
      <c r="I5" s="164"/>
      <c r="J5" s="164"/>
      <c r="K5" s="164"/>
      <c r="L5" s="164"/>
      <c r="M5" s="164"/>
      <c r="N5" s="164"/>
      <c r="O5" s="164"/>
      <c r="P5" s="165"/>
      <c r="Q5" s="166" t="str">
        <f>Data_Sources!$D$30&amp;" | "&amp;Data_Sources!$E$30&amp;" | "&amp;Data_Sources!$F$30</f>
        <v>Eternal Q4FY26 audited consolidated P&amp;L | Annexure D — expenses | https://b.zmtcdn.com/investor-relations/Eternal_Shareholders_Letter_Q4FY26_Results.pdf</v>
      </c>
    </row>
    <row r="6" spans="1:17" x14ac:dyDescent="0.25">
      <c r="A6" t="s">
        <v>833</v>
      </c>
      <c r="B6" t="s">
        <v>9</v>
      </c>
      <c r="D6" s="335">
        <f>'Revenue Schedule'!C31</f>
        <v>7079</v>
      </c>
      <c r="E6" s="335">
        <f>'Revenue Schedule'!D31</f>
        <v>12114</v>
      </c>
      <c r="F6" s="335">
        <f>'Revenue Schedule'!E31</f>
        <v>20243</v>
      </c>
      <c r="G6" s="335">
        <f>'Revenue Schedule'!F31</f>
        <v>54364</v>
      </c>
      <c r="H6" s="335">
        <f>'Revenue Schedule'!G31</f>
        <v>130546.60204</v>
      </c>
      <c r="I6" s="335">
        <f>'Revenue Schedule'!H31</f>
        <v>181469.48782399998</v>
      </c>
      <c r="J6" s="335">
        <f>'Revenue Schedule'!I31</f>
        <v>246454.50294327998</v>
      </c>
      <c r="K6" s="335">
        <f>'Revenue Schedule'!J31</f>
        <v>321890.26672094397</v>
      </c>
      <c r="L6" s="335">
        <f>'Revenue Schedule'!K31</f>
        <v>406825.36460368003</v>
      </c>
      <c r="M6" s="335">
        <f>'Revenue Schedule'!L31</f>
        <v>501959.06929659995</v>
      </c>
      <c r="N6" s="335">
        <f>'Revenue Schedule'!M31</f>
        <v>608647.48749380012</v>
      </c>
      <c r="O6" s="335">
        <f>'Revenue Schedule'!N31</f>
        <v>707913.6048823701</v>
      </c>
      <c r="P6" s="26"/>
    </row>
    <row r="7" spans="1:17" x14ac:dyDescent="0.25">
      <c r="A7" t="s">
        <v>834</v>
      </c>
      <c r="B7" t="s">
        <v>9</v>
      </c>
      <c r="D7" s="190">
        <f>-'Cost Schedule'!D6</f>
        <v>-1395</v>
      </c>
      <c r="E7" s="190">
        <f>-'Cost Schedule'!E6</f>
        <v>-2882</v>
      </c>
      <c r="F7" s="190">
        <f>-'Cost Schedule'!F6</f>
        <v>-5565</v>
      </c>
      <c r="G7" s="190">
        <f>-'Cost Schedule'!G6</f>
        <v>-30167</v>
      </c>
      <c r="H7" s="190">
        <f>-'Cost Schedule'!H6</f>
        <v>-83490.547000000006</v>
      </c>
      <c r="I7" s="190">
        <f>-'Cost Schedule'!I6</f>
        <v>-116049.88900000001</v>
      </c>
      <c r="J7" s="190">
        <f>-'Cost Schedule'!J6</f>
        <v>-158151.74991000001</v>
      </c>
      <c r="K7" s="190">
        <f>-'Cost Schedule'!K6</f>
        <v>-206480.48237399998</v>
      </c>
      <c r="L7" s="190">
        <f>-'Cost Schedule'!L6</f>
        <v>-260741.78902720008</v>
      </c>
      <c r="M7" s="190">
        <f>-'Cost Schedule'!M6</f>
        <v>-323414.69303808</v>
      </c>
      <c r="N7" s="190">
        <f>-'Cost Schedule'!N6</f>
        <v>-390738.08032236795</v>
      </c>
      <c r="O7" s="190">
        <f>-'Cost Schedule'!O6</f>
        <v>-455499.36617631523</v>
      </c>
    </row>
    <row r="8" spans="1:17" x14ac:dyDescent="0.25">
      <c r="D8" s="65"/>
      <c r="E8" s="65"/>
      <c r="F8" s="65"/>
      <c r="G8" s="65"/>
      <c r="H8" s="69"/>
      <c r="I8" s="69"/>
      <c r="J8" s="69"/>
      <c r="K8" s="69"/>
      <c r="L8" s="69"/>
      <c r="M8" s="69"/>
      <c r="N8" s="69"/>
      <c r="O8" s="69"/>
    </row>
    <row r="9" spans="1:17" x14ac:dyDescent="0.25">
      <c r="A9" s="10" t="s">
        <v>835</v>
      </c>
      <c r="B9" s="3" t="s">
        <v>9</v>
      </c>
      <c r="C9" s="3"/>
      <c r="D9" s="336">
        <f t="shared" ref="D9:O9" si="0">D6+D7</f>
        <v>5684</v>
      </c>
      <c r="E9" s="336">
        <f t="shared" si="0"/>
        <v>9232</v>
      </c>
      <c r="F9" s="336">
        <f t="shared" si="0"/>
        <v>14678</v>
      </c>
      <c r="G9" s="336">
        <f t="shared" si="0"/>
        <v>24197</v>
      </c>
      <c r="H9" s="336">
        <f t="shared" si="0"/>
        <v>47056.055039999992</v>
      </c>
      <c r="I9" s="336">
        <f t="shared" si="0"/>
        <v>65419.598823999972</v>
      </c>
      <c r="J9" s="336">
        <f t="shared" si="0"/>
        <v>88302.753033279965</v>
      </c>
      <c r="K9" s="336">
        <f t="shared" si="0"/>
        <v>115409.78434694398</v>
      </c>
      <c r="L9" s="336">
        <f t="shared" si="0"/>
        <v>146083.57557647995</v>
      </c>
      <c r="M9" s="336">
        <f t="shared" si="0"/>
        <v>178544.37625851994</v>
      </c>
      <c r="N9" s="336">
        <f t="shared" si="0"/>
        <v>217909.40717143216</v>
      </c>
      <c r="O9" s="336">
        <f t="shared" si="0"/>
        <v>252414.23870605486</v>
      </c>
      <c r="P9" s="26"/>
    </row>
    <row r="10" spans="1:17" x14ac:dyDescent="0.25">
      <c r="A10" s="3" t="s">
        <v>836</v>
      </c>
      <c r="B10" s="3" t="s">
        <v>13</v>
      </c>
      <c r="C10" s="3"/>
      <c r="D10" s="304">
        <f t="shared" ref="D10:O10" si="1">IFERROR(D9/D6,"")</f>
        <v>0.80293826811696567</v>
      </c>
      <c r="E10" s="304">
        <f t="shared" si="1"/>
        <v>0.76209344560013204</v>
      </c>
      <c r="F10" s="304">
        <f t="shared" si="1"/>
        <v>0.72509015462135062</v>
      </c>
      <c r="G10" s="304">
        <f t="shared" si="1"/>
        <v>0.44509234051946139</v>
      </c>
      <c r="H10" s="304">
        <f t="shared" si="1"/>
        <v>0.36045407773679033</v>
      </c>
      <c r="I10" s="304">
        <f t="shared" si="1"/>
        <v>0.36049916494748602</v>
      </c>
      <c r="J10" s="304">
        <f t="shared" si="1"/>
        <v>0.3582923094474858</v>
      </c>
      <c r="K10" s="304">
        <f t="shared" si="1"/>
        <v>0.35853766416303628</v>
      </c>
      <c r="L10" s="304">
        <f t="shared" si="1"/>
        <v>0.35908177878434699</v>
      </c>
      <c r="M10" s="304">
        <f t="shared" si="1"/>
        <v>0.35569508985805531</v>
      </c>
      <c r="N10" s="304">
        <f t="shared" si="1"/>
        <v>0.35802235554887074</v>
      </c>
      <c r="O10" s="304">
        <f t="shared" si="1"/>
        <v>0.3565607963531045</v>
      </c>
    </row>
    <row r="11" spans="1:17" x14ac:dyDescent="0.25">
      <c r="A11" t="s">
        <v>837</v>
      </c>
      <c r="B11" t="s">
        <v>9</v>
      </c>
      <c r="D11" s="190">
        <f>-'Cost Schedule'!D8</f>
        <v>-1465</v>
      </c>
      <c r="E11" s="190">
        <f>-'Cost Schedule'!E8</f>
        <v>-1659</v>
      </c>
      <c r="F11" s="190">
        <f>-'Cost Schedule'!F8</f>
        <v>-2558</v>
      </c>
      <c r="G11" s="190">
        <f>-'Cost Schedule'!G8</f>
        <v>-3536</v>
      </c>
      <c r="H11" s="190">
        <f>-'Cost Schedule'!H8</f>
        <v>-7751.3332563715676</v>
      </c>
      <c r="I11" s="190">
        <f>-'Cost Schedule'!I8</f>
        <v>-10025.913982024249</v>
      </c>
      <c r="J11" s="190">
        <f>-'Cost Schedule'!J8</f>
        <v>-12604.7857129597</v>
      </c>
      <c r="K11" s="190">
        <f>-'Cost Schedule'!K8</f>
        <v>-15474.555437931624</v>
      </c>
      <c r="L11" s="190">
        <f>-'Cost Schedule'!L8</f>
        <v>-18728.350907414497</v>
      </c>
      <c r="M11" s="190">
        <f>-'Cost Schedule'!M8</f>
        <v>-22085.689354722334</v>
      </c>
      <c r="N11" s="190">
        <f>-'Cost Schedule'!N8</f>
        <v>-26164.730798291181</v>
      </c>
      <c r="O11" s="190">
        <f>-'Cost Schedule'!O8</f>
        <v>-29717.01824378908</v>
      </c>
      <c r="P11" s="26"/>
    </row>
    <row r="12" spans="1:17" x14ac:dyDescent="0.25">
      <c r="A12" t="s">
        <v>838</v>
      </c>
      <c r="B12" t="s">
        <v>9</v>
      </c>
      <c r="C12" s="3"/>
      <c r="D12" s="335">
        <f>-'Cost Schedule'!D7</f>
        <v>-2537</v>
      </c>
      <c r="E12" s="335">
        <f>-'Cost Schedule'!E7</f>
        <v>-3915</v>
      </c>
      <c r="F12" s="335">
        <f>-'Cost Schedule'!F7</f>
        <v>-5728</v>
      </c>
      <c r="G12" s="335">
        <f>-'Cost Schedule'!G7</f>
        <v>-9065</v>
      </c>
      <c r="H12" s="335">
        <f>-'Cost Schedule'!H7</f>
        <v>-21382.988293438808</v>
      </c>
      <c r="I12" s="335">
        <f>-'Cost Schedule'!I7</f>
        <v>-29149.416577366796</v>
      </c>
      <c r="J12" s="335">
        <f>-'Cost Schedule'!J7</f>
        <v>-38822.739995915872</v>
      </c>
      <c r="K12" s="335">
        <f>-'Cost Schedule'!K7</f>
        <v>-49716.124917610097</v>
      </c>
      <c r="L12" s="335">
        <f>-'Cost Schedule'!L7</f>
        <v>-61595.465206607681</v>
      </c>
      <c r="M12" s="335">
        <f>-'Cost Schedule'!M7</f>
        <v>-74474.998986854378</v>
      </c>
      <c r="N12" s="335">
        <f>-'Cost Schedule'!N7</f>
        <v>-89084.678670372334</v>
      </c>
      <c r="O12" s="335">
        <f>-'Cost Schedule'!O7</f>
        <v>-101472.74522269443</v>
      </c>
    </row>
    <row r="13" spans="1:17" x14ac:dyDescent="0.25">
      <c r="A13" t="s">
        <v>839</v>
      </c>
      <c r="B13" t="s">
        <v>9</v>
      </c>
      <c r="D13" s="190">
        <f>-'Cost Schedule'!D11</f>
        <v>-1227</v>
      </c>
      <c r="E13" s="190">
        <f>-'Cost Schedule'!E11</f>
        <v>-1432</v>
      </c>
      <c r="F13" s="190">
        <f>-'Cost Schedule'!F11</f>
        <v>-1972</v>
      </c>
      <c r="G13" s="190">
        <f>-'Cost Schedule'!G11</f>
        <v>-3350</v>
      </c>
      <c r="H13" s="190">
        <f>-'Cost Schedule'!H11</f>
        <v>-7617.6895795375749</v>
      </c>
      <c r="I13" s="190">
        <f>-'Cost Schedule'!I11</f>
        <v>-10025.913982024249</v>
      </c>
      <c r="J13" s="190">
        <f>-'Cost Schedule'!J11</f>
        <v>-12604.7857129597</v>
      </c>
      <c r="K13" s="190">
        <f>-'Cost Schedule'!K11</f>
        <v>-15803.801298313147</v>
      </c>
      <c r="L13" s="190">
        <f>-'Cost Schedule'!L11</f>
        <v>-19144.53648313482</v>
      </c>
      <c r="M13" s="190">
        <f>-'Cost Schedule'!M11</f>
        <v>-22599.310037390293</v>
      </c>
      <c r="N13" s="190">
        <f>-'Cost Schedule'!N11</f>
        <v>-26787.700579202869</v>
      </c>
      <c r="O13" s="190">
        <f>-'Cost Schedule'!O11</f>
        <v>-30441.823566808325</v>
      </c>
    </row>
    <row r="14" spans="1:17" x14ac:dyDescent="0.25">
      <c r="A14" t="s">
        <v>840</v>
      </c>
      <c r="B14" t="s">
        <v>9</v>
      </c>
      <c r="D14" s="190">
        <f>-'Cost Schedule'!D12</f>
        <v>-1665</v>
      </c>
      <c r="E14" s="190">
        <f>-'Cost Schedule'!E12</f>
        <v>-2184</v>
      </c>
      <c r="F14" s="190">
        <f>-'Cost Schedule'!F12</f>
        <v>-3783</v>
      </c>
      <c r="G14" s="190">
        <f>-'Cost Schedule'!G12</f>
        <v>-7038</v>
      </c>
      <c r="H14" s="190">
        <f>-'Cost Schedule'!H12</f>
        <v>-15595.184872792554</v>
      </c>
      <c r="I14" s="190">
        <f>-'Cost Schedule'!I12</f>
        <v>-19863.772176146587</v>
      </c>
      <c r="J14" s="190">
        <f>-'Cost Schedule'!J12</f>
        <v>-24512.530604343872</v>
      </c>
      <c r="K14" s="190">
        <f>-'Cost Schedule'!K12</f>
        <v>-28796.519733303434</v>
      </c>
      <c r="L14" s="190">
        <f>-'Cost Schedule'!L12</f>
        <v>-32326.617063037622</v>
      </c>
      <c r="M14" s="190">
        <f>-'Cost Schedule'!M12</f>
        <v>-34866.414522754938</v>
      </c>
      <c r="N14" s="190">
        <f>-'Cost Schedule'!N12</f>
        <v>-36190.588924167816</v>
      </c>
      <c r="O14" s="190">
        <f>-'Cost Schedule'!O12</f>
        <v>-38935.248268530355</v>
      </c>
    </row>
    <row r="15" spans="1:17" x14ac:dyDescent="0.25">
      <c r="D15" s="65"/>
      <c r="E15" s="65"/>
      <c r="F15" s="65"/>
      <c r="G15" s="65"/>
      <c r="H15" s="69"/>
      <c r="I15" s="69"/>
      <c r="J15" s="69"/>
      <c r="K15" s="69"/>
      <c r="L15" s="69"/>
      <c r="M15" s="69"/>
      <c r="N15" s="69"/>
      <c r="O15" s="69"/>
    </row>
    <row r="16" spans="1:17" s="162" customFormat="1" x14ac:dyDescent="0.25">
      <c r="A16" s="160" t="s">
        <v>841</v>
      </c>
      <c r="B16" s="160" t="s">
        <v>9</v>
      </c>
      <c r="C16" s="160"/>
      <c r="D16" s="337">
        <f t="shared" ref="D16:O16" si="2">SUM(D9,D11:D14)</f>
        <v>-1210</v>
      </c>
      <c r="E16" s="337">
        <f t="shared" si="2"/>
        <v>42</v>
      </c>
      <c r="F16" s="337">
        <f t="shared" si="2"/>
        <v>637</v>
      </c>
      <c r="G16" s="337">
        <f t="shared" si="2"/>
        <v>1208</v>
      </c>
      <c r="H16" s="337">
        <f t="shared" si="2"/>
        <v>-5291.140962140511</v>
      </c>
      <c r="I16" s="337">
        <f t="shared" si="2"/>
        <v>-3645.4178935619093</v>
      </c>
      <c r="J16" s="337">
        <f t="shared" si="2"/>
        <v>-242.08899289917463</v>
      </c>
      <c r="K16" s="337">
        <f t="shared" si="2"/>
        <v>5618.7829597856871</v>
      </c>
      <c r="L16" s="337">
        <f t="shared" si="2"/>
        <v>14288.605916285334</v>
      </c>
      <c r="M16" s="337">
        <f t="shared" si="2"/>
        <v>24517.963356798005</v>
      </c>
      <c r="N16" s="337">
        <f t="shared" si="2"/>
        <v>39681.708199397959</v>
      </c>
      <c r="O16" s="337">
        <f t="shared" si="2"/>
        <v>51847.403404232668</v>
      </c>
      <c r="P16" s="161"/>
    </row>
    <row r="17" spans="1:16" x14ac:dyDescent="0.25">
      <c r="A17" t="s">
        <v>842</v>
      </c>
      <c r="B17" t="s">
        <v>13</v>
      </c>
      <c r="D17" s="259">
        <f t="shared" ref="D17:O17" si="3">IFERROR(D16/D6,"")</f>
        <v>-0.17092809718886848</v>
      </c>
      <c r="E17" s="259">
        <f t="shared" si="3"/>
        <v>3.4670629024269439E-3</v>
      </c>
      <c r="F17" s="259">
        <f t="shared" si="3"/>
        <v>3.1467667835795091E-2</v>
      </c>
      <c r="G17" s="259">
        <f t="shared" si="3"/>
        <v>2.222058715326319E-2</v>
      </c>
      <c r="H17" s="259">
        <f t="shared" si="3"/>
        <v>-4.0530667818678916E-2</v>
      </c>
      <c r="I17" s="259">
        <f t="shared" si="3"/>
        <v>-2.0088324143491574E-2</v>
      </c>
      <c r="J17" s="259">
        <f t="shared" si="3"/>
        <v>-9.8228675073098559E-4</v>
      </c>
      <c r="K17" s="259">
        <f t="shared" si="3"/>
        <v>1.7455585150254863E-2</v>
      </c>
      <c r="L17" s="259">
        <f t="shared" si="3"/>
        <v>3.5122210067223728E-2</v>
      </c>
      <c r="M17" s="259">
        <f t="shared" si="3"/>
        <v>4.8844547008893104E-2</v>
      </c>
      <c r="N17" s="259">
        <f t="shared" si="3"/>
        <v>6.5196536607410496E-2</v>
      </c>
      <c r="O17" s="259">
        <f t="shared" si="3"/>
        <v>7.3239732993756843E-2</v>
      </c>
    </row>
    <row r="18" spans="1:16" x14ac:dyDescent="0.25">
      <c r="A18" t="s">
        <v>1472</v>
      </c>
      <c r="B18" t="s">
        <v>9</v>
      </c>
      <c r="D18" s="190">
        <f>ROUND(D16-'Cost Schedule'!D20,2)</f>
        <v>0</v>
      </c>
      <c r="E18" s="190">
        <f>ROUND(E16-'Cost Schedule'!E20,2)</f>
        <v>0</v>
      </c>
      <c r="F18" s="190">
        <f>ROUND(F16-'Cost Schedule'!F20,2)</f>
        <v>0</v>
      </c>
      <c r="G18" s="190">
        <f>ROUND(G16-'Cost Schedule'!G20,2)</f>
        <v>0</v>
      </c>
      <c r="H18" s="190">
        <f>ROUND(H16-'Cost Schedule'!H20,2)</f>
        <v>0</v>
      </c>
      <c r="I18" s="190">
        <f>ROUND(I16-'Cost Schedule'!I20,2)</f>
        <v>0</v>
      </c>
      <c r="J18" s="190">
        <f>ROUND(J16-'Cost Schedule'!J20,2)</f>
        <v>0</v>
      </c>
      <c r="K18" s="190">
        <f>ROUND(K16-'Cost Schedule'!K20,2)</f>
        <v>0</v>
      </c>
      <c r="L18" s="190">
        <f>ROUND(L16-'Cost Schedule'!L20,2)</f>
        <v>0</v>
      </c>
      <c r="M18" s="190">
        <f>ROUND(M16-'Cost Schedule'!M20,2)</f>
        <v>0</v>
      </c>
      <c r="N18" s="190">
        <f>ROUND(N16-'Cost Schedule'!N20,2)</f>
        <v>0</v>
      </c>
      <c r="O18" s="190">
        <f>ROUND(O16-'Cost Schedule'!O20,2)</f>
        <v>0</v>
      </c>
    </row>
    <row r="19" spans="1:16" x14ac:dyDescent="0.25">
      <c r="A19" t="s">
        <v>796</v>
      </c>
      <c r="B19" t="s">
        <v>9</v>
      </c>
      <c r="D19" s="190">
        <f>-FA_Schedule!C37</f>
        <v>-437</v>
      </c>
      <c r="E19" s="190">
        <f>-FA_Schedule!D37</f>
        <v>-526</v>
      </c>
      <c r="F19" s="190">
        <f>-FA_Schedule!E37</f>
        <v>-863</v>
      </c>
      <c r="G19" s="190">
        <f>-FA_Schedule!F37</f>
        <v>-1597</v>
      </c>
      <c r="H19" s="190">
        <f>-FA_Schedule!G37</f>
        <v>-2838.1476263269637</v>
      </c>
      <c r="I19" s="190">
        <f>-FA_Schedule!H37</f>
        <v>-4122.4037796161083</v>
      </c>
      <c r="J19" s="190">
        <f>-FA_Schedule!I37</f>
        <v>-5286.473672633786</v>
      </c>
      <c r="K19" s="190">
        <f>-FA_Schedule!J37</f>
        <v>-6369.0035593033981</v>
      </c>
      <c r="L19" s="190">
        <f>-FA_Schedule!K37</f>
        <v>-7359.1977890453609</v>
      </c>
      <c r="M19" s="190">
        <f>-FA_Schedule!L37</f>
        <v>-8244.513953323336</v>
      </c>
      <c r="N19" s="190">
        <f>-FA_Schedule!M37</f>
        <v>-9047.8973128900689</v>
      </c>
      <c r="O19" s="190">
        <f>-FA_Schedule!N37</f>
        <v>-9782.1130692337047</v>
      </c>
    </row>
    <row r="20" spans="1:16" x14ac:dyDescent="0.25">
      <c r="D20" s="65"/>
      <c r="E20" s="65"/>
      <c r="F20" s="65"/>
      <c r="G20" s="65"/>
      <c r="H20" s="69"/>
      <c r="I20" s="69"/>
      <c r="J20" s="69"/>
      <c r="K20" s="69"/>
      <c r="L20" s="69"/>
      <c r="M20" s="69"/>
      <c r="N20" s="69"/>
      <c r="O20" s="69"/>
    </row>
    <row r="21" spans="1:16" s="162" customFormat="1" x14ac:dyDescent="0.25">
      <c r="A21" s="160" t="s">
        <v>843</v>
      </c>
      <c r="B21" s="160" t="s">
        <v>9</v>
      </c>
      <c r="C21" s="160"/>
      <c r="D21" s="337">
        <f t="shared" ref="D21:O21" si="4">D16+D19</f>
        <v>-1647</v>
      </c>
      <c r="E21" s="337">
        <f t="shared" si="4"/>
        <v>-484</v>
      </c>
      <c r="F21" s="337">
        <f t="shared" si="4"/>
        <v>-226</v>
      </c>
      <c r="G21" s="337">
        <f t="shared" si="4"/>
        <v>-389</v>
      </c>
      <c r="H21" s="337">
        <f t="shared" si="4"/>
        <v>-8129.2885884674743</v>
      </c>
      <c r="I21" s="337">
        <f t="shared" si="4"/>
        <v>-7767.8216731780176</v>
      </c>
      <c r="J21" s="337">
        <f t="shared" si="4"/>
        <v>-5528.5626655329606</v>
      </c>
      <c r="K21" s="337">
        <f t="shared" si="4"/>
        <v>-750.22059951771098</v>
      </c>
      <c r="L21" s="337">
        <f t="shared" si="4"/>
        <v>6929.4081272399735</v>
      </c>
      <c r="M21" s="337">
        <f t="shared" si="4"/>
        <v>16273.449403474669</v>
      </c>
      <c r="N21" s="337">
        <f t="shared" si="4"/>
        <v>30633.81088650789</v>
      </c>
      <c r="O21" s="337">
        <f t="shared" si="4"/>
        <v>42065.290334998965</v>
      </c>
      <c r="P21" s="161"/>
    </row>
    <row r="22" spans="1:16" x14ac:dyDescent="0.25">
      <c r="A22" t="s">
        <v>844</v>
      </c>
      <c r="B22" s="3" t="s">
        <v>13</v>
      </c>
      <c r="D22" s="259">
        <f t="shared" ref="D22:O22" si="5">IFERROR(D21/D6,"")</f>
        <v>-0.23265998022319537</v>
      </c>
      <c r="E22" s="259">
        <f t="shared" si="5"/>
        <v>-3.9953772494634304E-2</v>
      </c>
      <c r="F22" s="259">
        <f t="shared" si="5"/>
        <v>-1.1164353109716939E-2</v>
      </c>
      <c r="G22" s="259">
        <f t="shared" si="5"/>
        <v>-7.1554705319696859E-3</v>
      </c>
      <c r="H22" s="259">
        <f t="shared" si="5"/>
        <v>-6.2271161879622325E-2</v>
      </c>
      <c r="I22" s="259">
        <f t="shared" si="5"/>
        <v>-4.280511157176857E-2</v>
      </c>
      <c r="J22" s="259">
        <f t="shared" si="5"/>
        <v>-2.2432386503424228E-2</v>
      </c>
      <c r="K22" s="259">
        <f t="shared" si="5"/>
        <v>-2.3306718999617938E-3</v>
      </c>
      <c r="L22" s="259">
        <f t="shared" si="5"/>
        <v>1.7032881256040768E-2</v>
      </c>
      <c r="M22" s="259">
        <f t="shared" si="5"/>
        <v>3.2419873250380378E-2</v>
      </c>
      <c r="N22" s="259">
        <f t="shared" si="5"/>
        <v>5.0330957600182219E-2</v>
      </c>
      <c r="O22" s="259">
        <f t="shared" si="5"/>
        <v>5.9421502913464576E-2</v>
      </c>
    </row>
    <row r="23" spans="1:16" x14ac:dyDescent="0.25">
      <c r="A23" t="s">
        <v>845</v>
      </c>
      <c r="B23" t="s">
        <v>9</v>
      </c>
      <c r="D23" s="190">
        <f>'Other Income Schedule '!D12</f>
        <v>682</v>
      </c>
      <c r="E23" s="190">
        <f>'Other Income Schedule '!E12</f>
        <v>847</v>
      </c>
      <c r="F23" s="190">
        <f>'Other Income Schedule '!F12</f>
        <v>1077</v>
      </c>
      <c r="G23" s="190">
        <f>'Other Income Schedule '!G12</f>
        <v>1396</v>
      </c>
      <c r="H23" s="190">
        <f>'Other Income Schedule '!H12</f>
        <v>1168.18</v>
      </c>
      <c r="I23" s="190">
        <f>'Other Income Schedule '!I12</f>
        <v>366.44604747580121</v>
      </c>
      <c r="J23" s="190">
        <f>'Other Income Schedule '!J12</f>
        <v>-349.60918978833109</v>
      </c>
      <c r="K23" s="190">
        <f>'Other Income Schedule '!K12</f>
        <v>-896.76274155724502</v>
      </c>
      <c r="L23" s="190">
        <f>'Other Income Schedule '!L12</f>
        <v>-1315.8702290525382</v>
      </c>
      <c r="M23" s="190">
        <f>'Other Income Schedule '!M12</f>
        <v>-1265.4113820238745</v>
      </c>
      <c r="N23" s="190">
        <f>'Other Income Schedule '!N12</f>
        <v>-701.30171086135067</v>
      </c>
      <c r="O23" s="190">
        <f>'Other Income Schedule '!O12</f>
        <v>451.11302075270203</v>
      </c>
    </row>
    <row r="24" spans="1:16" x14ac:dyDescent="0.25">
      <c r="A24" t="s">
        <v>797</v>
      </c>
      <c r="B24" t="s">
        <v>9</v>
      </c>
      <c r="D24" s="190">
        <f>-Lease_Schedule!D25</f>
        <v>-49</v>
      </c>
      <c r="E24" s="190">
        <f>-Lease_Schedule!E25</f>
        <v>-72</v>
      </c>
      <c r="F24" s="190">
        <f>-Lease_Schedule!F25</f>
        <v>-154</v>
      </c>
      <c r="G24" s="190">
        <f>-Lease_Schedule!G25</f>
        <v>-392</v>
      </c>
      <c r="H24" s="190">
        <f>-Lease_Schedule!H25</f>
        <v>-495.51725133896662</v>
      </c>
      <c r="I24" s="190">
        <f>-Lease_Schedule!I25</f>
        <v>-826.30888425269382</v>
      </c>
      <c r="J24" s="190">
        <f>-Lease_Schedule!J25</f>
        <v>-1182.2817397320866</v>
      </c>
      <c r="K24" s="190">
        <f>-Lease_Schedule!K25</f>
        <v>-1555.4343518483163</v>
      </c>
      <c r="L24" s="190">
        <f>-Lease_Schedule!L25</f>
        <v>-1934.8588942207343</v>
      </c>
      <c r="M24" s="190">
        <f>-Lease_Schedule!M25</f>
        <v>-2290.0989955883629</v>
      </c>
      <c r="N24" s="190">
        <f>-Lease_Schedule!N25</f>
        <v>-2602.9057676891321</v>
      </c>
      <c r="O24" s="190">
        <f>-Lease_Schedule!O25</f>
        <v>-2850.3062896913625</v>
      </c>
    </row>
    <row r="25" spans="1:16" x14ac:dyDescent="0.25">
      <c r="D25" s="65"/>
      <c r="E25" s="65"/>
      <c r="F25" s="65"/>
      <c r="G25" s="65"/>
      <c r="H25" s="69"/>
      <c r="I25" s="69"/>
      <c r="J25" s="69"/>
      <c r="K25" s="69"/>
      <c r="L25" s="69"/>
      <c r="M25" s="69"/>
      <c r="N25" s="69"/>
      <c r="O25" s="69"/>
    </row>
    <row r="26" spans="1:16" s="162" customFormat="1" x14ac:dyDescent="0.25">
      <c r="A26" s="160" t="s">
        <v>100</v>
      </c>
      <c r="B26" s="160" t="s">
        <v>9</v>
      </c>
      <c r="C26" s="160"/>
      <c r="D26" s="337">
        <f t="shared" ref="D26:O26" si="6">SUM(D21,D23:D24)</f>
        <v>-1014</v>
      </c>
      <c r="E26" s="337">
        <f t="shared" si="6"/>
        <v>291</v>
      </c>
      <c r="F26" s="337">
        <f t="shared" si="6"/>
        <v>697</v>
      </c>
      <c r="G26" s="337">
        <f t="shared" si="6"/>
        <v>615</v>
      </c>
      <c r="H26" s="337">
        <f t="shared" si="6"/>
        <v>-7456.6258398064401</v>
      </c>
      <c r="I26" s="337">
        <f t="shared" si="6"/>
        <v>-8227.68450995491</v>
      </c>
      <c r="J26" s="337">
        <f t="shared" si="6"/>
        <v>-7060.4535950533782</v>
      </c>
      <c r="K26" s="337">
        <f t="shared" si="6"/>
        <v>-3202.4176929232726</v>
      </c>
      <c r="L26" s="337">
        <f t="shared" si="6"/>
        <v>3678.6790039667012</v>
      </c>
      <c r="M26" s="337">
        <f t="shared" si="6"/>
        <v>12717.939025862432</v>
      </c>
      <c r="N26" s="337">
        <f t="shared" si="6"/>
        <v>27329.603407957409</v>
      </c>
      <c r="O26" s="337">
        <f t="shared" si="6"/>
        <v>39666.097066060305</v>
      </c>
      <c r="P26" s="161"/>
    </row>
    <row r="27" spans="1:16" x14ac:dyDescent="0.25">
      <c r="A27" t="s">
        <v>798</v>
      </c>
      <c r="B27" t="s">
        <v>9</v>
      </c>
      <c r="D27" s="93">
        <v>44</v>
      </c>
      <c r="E27" s="93">
        <v>60</v>
      </c>
      <c r="F27" s="93">
        <v>-170</v>
      </c>
      <c r="G27" s="93">
        <v>-249</v>
      </c>
      <c r="H27" s="190">
        <f>Tax_Schedule!H11</f>
        <v>0</v>
      </c>
      <c r="I27" s="190">
        <f>Tax_Schedule!I11</f>
        <v>0</v>
      </c>
      <c r="J27" s="190">
        <f>Tax_Schedule!J11</f>
        <v>0</v>
      </c>
      <c r="K27" s="190">
        <f>Tax_Schedule!K11</f>
        <v>0</v>
      </c>
      <c r="L27" s="190">
        <f>Tax_Schedule!L11</f>
        <v>0</v>
      </c>
      <c r="M27" s="190">
        <f>Tax_Schedule!M11</f>
        <v>0</v>
      </c>
      <c r="N27" s="190">
        <f>Tax_Schedule!N11</f>
        <v>-4474.9843176722179</v>
      </c>
      <c r="O27" s="190">
        <f>Tax_Schedule!O11</f>
        <v>-9983.9566315273787</v>
      </c>
    </row>
    <row r="28" spans="1:16" x14ac:dyDescent="0.25">
      <c r="D28" s="65"/>
      <c r="E28" s="65"/>
      <c r="F28" s="65"/>
      <c r="G28" s="65"/>
      <c r="H28" s="69"/>
      <c r="I28" s="69"/>
      <c r="J28" s="69"/>
      <c r="K28" s="69"/>
      <c r="L28" s="69"/>
      <c r="M28" s="69"/>
      <c r="N28" s="69"/>
      <c r="O28" s="69"/>
    </row>
    <row r="29" spans="1:16" s="162" customFormat="1" x14ac:dyDescent="0.25">
      <c r="A29" s="160" t="s">
        <v>101</v>
      </c>
      <c r="B29" s="160" t="s">
        <v>9</v>
      </c>
      <c r="C29" s="160"/>
      <c r="D29" s="337">
        <f t="shared" ref="D29:O29" si="7">D26+D27</f>
        <v>-970</v>
      </c>
      <c r="E29" s="337">
        <f t="shared" si="7"/>
        <v>351</v>
      </c>
      <c r="F29" s="337">
        <f t="shared" si="7"/>
        <v>527</v>
      </c>
      <c r="G29" s="337">
        <f t="shared" si="7"/>
        <v>366</v>
      </c>
      <c r="H29" s="337">
        <f t="shared" si="7"/>
        <v>-7456.6258398064401</v>
      </c>
      <c r="I29" s="337">
        <f t="shared" si="7"/>
        <v>-8227.68450995491</v>
      </c>
      <c r="J29" s="337">
        <f t="shared" si="7"/>
        <v>-7060.4535950533782</v>
      </c>
      <c r="K29" s="337">
        <f t="shared" si="7"/>
        <v>-3202.4176929232726</v>
      </c>
      <c r="L29" s="337">
        <f t="shared" si="7"/>
        <v>3678.6790039667012</v>
      </c>
      <c r="M29" s="337">
        <f t="shared" si="7"/>
        <v>12717.939025862432</v>
      </c>
      <c r="N29" s="337">
        <f t="shared" si="7"/>
        <v>22854.619090285192</v>
      </c>
      <c r="O29" s="337">
        <f t="shared" si="7"/>
        <v>29682.140434532928</v>
      </c>
      <c r="P29" s="161"/>
    </row>
    <row r="30" spans="1:16" x14ac:dyDescent="0.25">
      <c r="A30" t="s">
        <v>846</v>
      </c>
      <c r="B30" t="s">
        <v>13</v>
      </c>
      <c r="D30" s="259">
        <f t="shared" ref="D30:O30" si="8">IFERROR(D29/D6,"")</f>
        <v>-0.13702500353157226</v>
      </c>
      <c r="E30" s="259">
        <f t="shared" si="8"/>
        <v>2.8974739970282319E-2</v>
      </c>
      <c r="F30" s="259">
        <f t="shared" si="8"/>
        <v>2.6033690658499236E-2</v>
      </c>
      <c r="G30" s="259">
        <f t="shared" si="8"/>
        <v>6.7323964388198076E-3</v>
      </c>
      <c r="H30" s="259">
        <f t="shared" si="8"/>
        <v>-5.7118498094049973E-2</v>
      </c>
      <c r="I30" s="259">
        <f t="shared" si="8"/>
        <v>-4.533921712466954E-2</v>
      </c>
      <c r="J30" s="259">
        <f t="shared" si="8"/>
        <v>-2.864810141723521E-2</v>
      </c>
      <c r="K30" s="259">
        <f t="shared" si="8"/>
        <v>-9.948786974971013E-3</v>
      </c>
      <c r="L30" s="259">
        <f t="shared" si="8"/>
        <v>9.0424032620246928E-3</v>
      </c>
      <c r="M30" s="259">
        <f t="shared" si="8"/>
        <v>2.5336605719036419E-2</v>
      </c>
      <c r="N30" s="259">
        <f t="shared" si="8"/>
        <v>3.7549845452238058E-2</v>
      </c>
      <c r="O30" s="259">
        <f t="shared" si="8"/>
        <v>4.1929043642924532E-2</v>
      </c>
    </row>
    <row r="31" spans="1:16" x14ac:dyDescent="0.25">
      <c r="A31" t="s">
        <v>102</v>
      </c>
      <c r="B31" t="s">
        <v>18</v>
      </c>
      <c r="D31" s="47">
        <f>IFERROR(D29/Assumptions!$B$141,"")</f>
        <v>-1.0554951033732318</v>
      </c>
      <c r="E31" s="47">
        <f>IFERROR(E29/Assumptions!$B$141,"")</f>
        <v>0.38193688792165398</v>
      </c>
      <c r="F31" s="47">
        <f>IFERROR(F29/Assumptions!$B$141,"")</f>
        <v>0.57344940152339496</v>
      </c>
      <c r="G31" s="47">
        <f>IFERROR(G29/Assumptions!$B$141,"")</f>
        <v>0.3982589771490751</v>
      </c>
      <c r="H31" s="47">
        <f>IFERROR(H29/Assumptions!$B$141,"")</f>
        <v>-8.1138474861876393</v>
      </c>
      <c r="I31" s="47">
        <f>IFERROR(I29/Assumptions!$B$141,"")</f>
        <v>-8.9528667137703053</v>
      </c>
      <c r="J31" s="47">
        <f>IFERROR(J29/Assumptions!$B$141,"")</f>
        <v>-7.6827569043018258</v>
      </c>
      <c r="K31" s="47">
        <f>IFERROR(K29/Assumptions!$B$141,"")</f>
        <v>-3.4846764884910475</v>
      </c>
      <c r="L31" s="47">
        <f>IFERROR(L29/Assumptions!$B$141,"")</f>
        <v>4.0029151294523411</v>
      </c>
      <c r="M31" s="47">
        <f>IFERROR(M29/Assumptions!$B$141,"")</f>
        <v>13.838889037935182</v>
      </c>
      <c r="N31" s="47">
        <f>IFERROR(N29/Assumptions!$B$141,"")</f>
        <v>24.869008803357119</v>
      </c>
      <c r="O31" s="47">
        <f>IFERROR(O29/Assumptions!$B$141,"")</f>
        <v>32.298302975552694</v>
      </c>
    </row>
    <row r="33" spans="1:17" x14ac:dyDescent="0.25">
      <c r="A33" s="8" t="s">
        <v>1404</v>
      </c>
    </row>
    <row r="34" spans="1:17" x14ac:dyDescent="0.25">
      <c r="A34" t="s">
        <v>969</v>
      </c>
      <c r="B34" t="s">
        <v>9</v>
      </c>
      <c r="D34" s="151">
        <f t="shared" ref="D34:O34" si="9">D16</f>
        <v>-1210</v>
      </c>
      <c r="E34" s="151">
        <f t="shared" si="9"/>
        <v>42</v>
      </c>
      <c r="F34" s="151">
        <f t="shared" si="9"/>
        <v>637</v>
      </c>
      <c r="G34" s="151">
        <f t="shared" si="9"/>
        <v>1208</v>
      </c>
      <c r="H34" s="151">
        <f t="shared" si="9"/>
        <v>-5291.140962140511</v>
      </c>
      <c r="I34" s="151">
        <f t="shared" si="9"/>
        <v>-3645.4178935619093</v>
      </c>
      <c r="J34" s="151">
        <f t="shared" si="9"/>
        <v>-242.08899289917463</v>
      </c>
      <c r="K34" s="151">
        <f t="shared" si="9"/>
        <v>5618.7829597856871</v>
      </c>
      <c r="L34" s="151">
        <f t="shared" si="9"/>
        <v>14288.605916285334</v>
      </c>
      <c r="M34" s="151">
        <f t="shared" si="9"/>
        <v>24517.963356798005</v>
      </c>
      <c r="N34" s="151">
        <f t="shared" si="9"/>
        <v>39681.708199397959</v>
      </c>
      <c r="O34" s="151">
        <f t="shared" si="9"/>
        <v>51847.403404232668</v>
      </c>
    </row>
    <row r="35" spans="1:17" x14ac:dyDescent="0.25">
      <c r="A35" t="s">
        <v>970</v>
      </c>
      <c r="B35" t="s">
        <v>9</v>
      </c>
      <c r="D35" s="190">
        <f>IFERROR(-Lease_Schedule!D22,"")</f>
        <v>0</v>
      </c>
      <c r="E35" s="190">
        <f>IFERROR(-Lease_Schedule!E22,"")</f>
        <v>-185</v>
      </c>
      <c r="F35" s="190">
        <f>IFERROR(-Lease_Schedule!F22,"")</f>
        <v>-209</v>
      </c>
      <c r="G35" s="190">
        <f>IFERROR(-Lease_Schedule!G22,"")</f>
        <v>-471</v>
      </c>
      <c r="H35" s="190">
        <f>IFERROR(-Lease_Schedule!H22,"")</f>
        <v>-891.48274866103338</v>
      </c>
      <c r="I35" s="190">
        <f>IFERROR(-Lease_Schedule!I22,"")</f>
        <v>-1229.6911157473062</v>
      </c>
      <c r="J35" s="190">
        <f>IFERROR(-Lease_Schedule!J22,"")</f>
        <v>-1660.7182602679134</v>
      </c>
      <c r="K35" s="190">
        <f>IFERROR(-Lease_Schedule!K22,"")</f>
        <v>-2205.5656481516835</v>
      </c>
      <c r="L35" s="190">
        <f>IFERROR(-Lease_Schedule!L22,"")</f>
        <v>-2874.1411057792657</v>
      </c>
      <c r="M35" s="190">
        <f>IFERROR(-Lease_Schedule!M22,"")</f>
        <v>-3693.9010044116371</v>
      </c>
      <c r="N35" s="190">
        <f>IFERROR(-Lease_Schedule!N22,"")</f>
        <v>-4695.0942323108684</v>
      </c>
      <c r="O35" s="190">
        <f>IFERROR(-Lease_Schedule!O22,"")</f>
        <v>-5913.6937103086375</v>
      </c>
    </row>
    <row r="36" spans="1:17" x14ac:dyDescent="0.25">
      <c r="A36" t="s">
        <v>971</v>
      </c>
      <c r="B36" t="s">
        <v>9</v>
      </c>
      <c r="D36" s="190">
        <f>IFERROR(-Lease_Schedule!D21,"")</f>
        <v>0</v>
      </c>
      <c r="E36" s="190" t="str">
        <f>IFERROR(-Lease_Schedule!E21,"")</f>
        <v/>
      </c>
      <c r="F36" s="190">
        <f>IFERROR(-Lease_Schedule!F21,"")</f>
        <v>-147</v>
      </c>
      <c r="G36" s="190">
        <f>IFERROR(-Lease_Schedule!G21,"")</f>
        <v>-367</v>
      </c>
      <c r="H36" s="190">
        <f>IFERROR(-Lease_Schedule!H21,"")</f>
        <v>-495.51725133896662</v>
      </c>
      <c r="I36" s="190">
        <f>IFERROR(-Lease_Schedule!I21,"")</f>
        <v>-826.30888425269382</v>
      </c>
      <c r="J36" s="190">
        <f>IFERROR(-Lease_Schedule!J21,"")</f>
        <v>-1182.2817397320866</v>
      </c>
      <c r="K36" s="190">
        <f>IFERROR(-Lease_Schedule!K21,"")</f>
        <v>-1555.4343518483163</v>
      </c>
      <c r="L36" s="190">
        <f>IFERROR(-Lease_Schedule!L21,"")</f>
        <v>-1934.8588942207343</v>
      </c>
      <c r="M36" s="190">
        <f>IFERROR(-Lease_Schedule!M21,"")</f>
        <v>-2290.0989955883629</v>
      </c>
      <c r="N36" s="190">
        <f>IFERROR(-Lease_Schedule!N21,"")</f>
        <v>-2602.9057676891321</v>
      </c>
      <c r="O36" s="190">
        <f>IFERROR(-Lease_Schedule!O21,"")</f>
        <v>-2850.3062896913625</v>
      </c>
    </row>
    <row r="37" spans="1:17" x14ac:dyDescent="0.25">
      <c r="A37" t="s">
        <v>972</v>
      </c>
      <c r="B37" t="s">
        <v>9</v>
      </c>
      <c r="D37" s="151">
        <f>SUM(D35:D36)</f>
        <v>0</v>
      </c>
      <c r="E37" s="151">
        <f t="shared" ref="E37:O37" si="10">SUM(E35:E36)</f>
        <v>-185</v>
      </c>
      <c r="F37" s="151">
        <f t="shared" si="10"/>
        <v>-356</v>
      </c>
      <c r="G37" s="151">
        <f t="shared" si="10"/>
        <v>-838</v>
      </c>
      <c r="H37" s="151">
        <f t="shared" si="10"/>
        <v>-1387</v>
      </c>
      <c r="I37" s="151">
        <f t="shared" si="10"/>
        <v>-2056</v>
      </c>
      <c r="J37" s="151">
        <f t="shared" si="10"/>
        <v>-2843</v>
      </c>
      <c r="K37" s="151">
        <f t="shared" si="10"/>
        <v>-3761</v>
      </c>
      <c r="L37" s="151">
        <f t="shared" si="10"/>
        <v>-4809</v>
      </c>
      <c r="M37" s="151">
        <f t="shared" si="10"/>
        <v>-5984</v>
      </c>
      <c r="N37" s="151">
        <f t="shared" si="10"/>
        <v>-7298</v>
      </c>
      <c r="O37" s="151">
        <f t="shared" si="10"/>
        <v>-8764</v>
      </c>
    </row>
    <row r="38" spans="1:17" x14ac:dyDescent="0.25">
      <c r="A38" t="s">
        <v>973</v>
      </c>
      <c r="B38" t="s">
        <v>13</v>
      </c>
      <c r="D38" s="66">
        <f t="shared" ref="D38:O38" si="11">IFERROR(-D37/D6,"")</f>
        <v>0</v>
      </c>
      <c r="E38" s="66">
        <f t="shared" si="11"/>
        <v>1.5271586594023443E-2</v>
      </c>
      <c r="F38" s="66">
        <f t="shared" si="11"/>
        <v>1.7586326137430223E-2</v>
      </c>
      <c r="G38" s="66">
        <f t="shared" si="11"/>
        <v>1.5414612611286882E-2</v>
      </c>
      <c r="H38" s="66">
        <f t="shared" si="11"/>
        <v>1.062455842071644E-2</v>
      </c>
      <c r="I38" s="66">
        <f t="shared" si="11"/>
        <v>1.1329728345263378E-2</v>
      </c>
      <c r="J38" s="66">
        <f t="shared" si="11"/>
        <v>1.1535597710926384E-2</v>
      </c>
      <c r="K38" s="66">
        <f t="shared" si="11"/>
        <v>1.168410601014078E-2</v>
      </c>
      <c r="L38" s="66">
        <f t="shared" si="11"/>
        <v>1.1820796878495562E-2</v>
      </c>
      <c r="M38" s="66">
        <f t="shared" si="11"/>
        <v>1.192129073070726E-2</v>
      </c>
      <c r="N38" s="66">
        <f t="shared" si="11"/>
        <v>1.1990520210722697E-2</v>
      </c>
      <c r="O38" s="66">
        <f t="shared" si="11"/>
        <v>1.2380041772832242E-2</v>
      </c>
    </row>
    <row r="39" spans="1:17" x14ac:dyDescent="0.25">
      <c r="A39" s="3" t="s">
        <v>974</v>
      </c>
      <c r="B39" s="3" t="s">
        <v>9</v>
      </c>
      <c r="C39" s="3"/>
      <c r="D39" s="168">
        <f>D34+D37</f>
        <v>-1210</v>
      </c>
      <c r="E39" s="168">
        <f t="shared" ref="E39:O39" si="12">E34+E37</f>
        <v>-143</v>
      </c>
      <c r="F39" s="168">
        <f t="shared" si="12"/>
        <v>281</v>
      </c>
      <c r="G39" s="168">
        <f t="shared" si="12"/>
        <v>370</v>
      </c>
      <c r="H39" s="168">
        <f t="shared" si="12"/>
        <v>-6678.140962140511</v>
      </c>
      <c r="I39" s="168">
        <f t="shared" si="12"/>
        <v>-5701.4178935619093</v>
      </c>
      <c r="J39" s="168">
        <f t="shared" si="12"/>
        <v>-3085.0889928991746</v>
      </c>
      <c r="K39" s="168">
        <f t="shared" si="12"/>
        <v>1857.7829597856871</v>
      </c>
      <c r="L39" s="168">
        <f t="shared" si="12"/>
        <v>9479.6059162853344</v>
      </c>
      <c r="M39" s="168">
        <f t="shared" si="12"/>
        <v>18533.963356798005</v>
      </c>
      <c r="N39" s="168">
        <f t="shared" si="12"/>
        <v>32383.708199397959</v>
      </c>
      <c r="O39" s="168">
        <f t="shared" si="12"/>
        <v>43083.403404232668</v>
      </c>
    </row>
    <row r="40" spans="1:17" x14ac:dyDescent="0.25">
      <c r="A40" t="s">
        <v>975</v>
      </c>
      <c r="B40" t="s">
        <v>13</v>
      </c>
      <c r="D40" s="66">
        <f t="shared" ref="D40:O40" si="13">IFERROR(D39/D6,"")</f>
        <v>-0.17092809718886848</v>
      </c>
      <c r="E40" s="66">
        <f t="shared" si="13"/>
        <v>-1.18045236915965E-2</v>
      </c>
      <c r="F40" s="66">
        <f t="shared" si="13"/>
        <v>1.3881341698364866E-2</v>
      </c>
      <c r="G40" s="66">
        <f t="shared" si="13"/>
        <v>6.8059745419763078E-3</v>
      </c>
      <c r="H40" s="66">
        <f t="shared" si="13"/>
        <v>-5.1155226239395356E-2</v>
      </c>
      <c r="I40" s="66">
        <f t="shared" si="13"/>
        <v>-3.1418052488754955E-2</v>
      </c>
      <c r="J40" s="66">
        <f t="shared" si="13"/>
        <v>-1.2517884461657369E-2</v>
      </c>
      <c r="K40" s="66">
        <f t="shared" si="13"/>
        <v>5.7714791401140848E-3</v>
      </c>
      <c r="L40" s="66">
        <f t="shared" si="13"/>
        <v>2.3301413188728165E-2</v>
      </c>
      <c r="M40" s="66">
        <f t="shared" si="13"/>
        <v>3.6923256278185844E-2</v>
      </c>
      <c r="N40" s="66">
        <f t="shared" si="13"/>
        <v>5.3206016396687796E-2</v>
      </c>
      <c r="O40" s="66">
        <f t="shared" si="13"/>
        <v>6.0859691220924605E-2</v>
      </c>
    </row>
    <row r="41" spans="1:17" x14ac:dyDescent="0.25">
      <c r="D41" s="16"/>
      <c r="E41" s="16"/>
      <c r="F41" s="16"/>
      <c r="G41" s="16"/>
      <c r="H41" s="106"/>
      <c r="I41" s="106"/>
      <c r="J41" s="106"/>
      <c r="K41" s="106"/>
      <c r="L41" s="106"/>
      <c r="M41" s="106"/>
      <c r="N41" s="106"/>
      <c r="O41" s="106"/>
    </row>
    <row r="42" spans="1:17" x14ac:dyDescent="0.25">
      <c r="A42" s="227" t="s">
        <v>789</v>
      </c>
      <c r="B42" s="3"/>
      <c r="C42" s="3"/>
      <c r="D42" s="3"/>
      <c r="E42" s="3"/>
      <c r="F42" s="3"/>
      <c r="G42" s="3"/>
      <c r="H42" s="103"/>
      <c r="I42" s="103"/>
      <c r="J42" s="103"/>
      <c r="K42" s="103"/>
      <c r="L42" s="103"/>
      <c r="M42" s="103"/>
      <c r="N42" s="103"/>
      <c r="O42" s="103"/>
      <c r="Q42" s="78" t="str">
        <f>Data_Sources!$D$15&amp;" | "&amp;Data_Sources!$E$15&amp;" | "&amp;Data_Sources!$F$15</f>
        <v>Eternal Q4FY26 shareholders' letter | Annexure A &amp; B (reconciliation to reported P&amp;L) | https://b.zmtcdn.com/investor-relations/Eternal_Shareholders_Letter_Q4FY26_Results.pdf</v>
      </c>
    </row>
    <row r="43" spans="1:17" x14ac:dyDescent="0.25">
      <c r="A43" t="s">
        <v>90</v>
      </c>
      <c r="B43" t="s">
        <v>9</v>
      </c>
      <c r="D43" s="93">
        <v>-10</v>
      </c>
      <c r="E43" s="93">
        <v>912</v>
      </c>
      <c r="F43" s="93">
        <v>1505</v>
      </c>
      <c r="G43" s="93">
        <v>2017</v>
      </c>
      <c r="H43" s="190">
        <f>'Revenue Schedule'!G42*Assumptions!H49</f>
        <v>2519.71776</v>
      </c>
      <c r="I43" s="190">
        <f>'Revenue Schedule'!H42*Assumptions!I49</f>
        <v>3091.5276000000003</v>
      </c>
      <c r="J43" s="190">
        <f>'Revenue Schedule'!I42*Assumptions!J49</f>
        <v>3787.1225999999997</v>
      </c>
      <c r="K43" s="190">
        <f>'Revenue Schedule'!J42*Assumptions!K49</f>
        <v>4484.7551999999996</v>
      </c>
      <c r="L43" s="190">
        <f>'Revenue Schedule'!K42*Assumptions!L49</f>
        <v>5266.8863999999994</v>
      </c>
      <c r="M43" s="190">
        <f>'Revenue Schedule'!L42*Assumptions!M49</f>
        <v>6183.7199999999993</v>
      </c>
      <c r="N43" s="190">
        <f>'Revenue Schedule'!M42*Assumptions!N49</f>
        <v>7262.4161999999997</v>
      </c>
      <c r="O43" s="190">
        <f>'Revenue Schedule'!N42*Assumptions!O49</f>
        <v>8526.7727999999988</v>
      </c>
    </row>
    <row r="44" spans="1:17" x14ac:dyDescent="0.25">
      <c r="A44" t="s">
        <v>91</v>
      </c>
      <c r="B44" t="s">
        <v>9</v>
      </c>
      <c r="D44" s="93">
        <v>-562</v>
      </c>
      <c r="E44" s="93">
        <v>-384</v>
      </c>
      <c r="F44" s="93">
        <v>-292</v>
      </c>
      <c r="G44" s="93">
        <v>-277</v>
      </c>
      <c r="H44" s="190">
        <f>'Revenue Schedule'!G56*Assumptions!H50</f>
        <v>611.66700000000003</v>
      </c>
      <c r="I44" s="190">
        <f>'Revenue Schedule'!H56*Assumptions!I50</f>
        <v>2590.5509999999999</v>
      </c>
      <c r="J44" s="190">
        <f>'Revenue Schedule'!I56*Assumptions!J50</f>
        <v>5923.265625</v>
      </c>
      <c r="K44" s="190">
        <f>'Revenue Schedule'!J56*Assumptions!K50</f>
        <v>10866.287249999999</v>
      </c>
      <c r="L44" s="190">
        <f>'Revenue Schedule'!K56*Assumptions!L50</f>
        <v>17668.044000000002</v>
      </c>
      <c r="M44" s="190">
        <f>'Revenue Schedule'!L56*Assumptions!M50</f>
        <v>24126.865000000002</v>
      </c>
      <c r="N44" s="190">
        <f>'Revenue Schedule'!M56*Assumptions!N50</f>
        <v>31926.477000000003</v>
      </c>
      <c r="O44" s="190">
        <f>'Revenue Schedule'!N56*Assumptions!O50</f>
        <v>39830.296499999997</v>
      </c>
    </row>
    <row r="45" spans="1:17" x14ac:dyDescent="0.25">
      <c r="A45" t="s">
        <v>92</v>
      </c>
      <c r="B45" t="s">
        <v>9</v>
      </c>
      <c r="D45" s="187" t="s">
        <v>1405</v>
      </c>
      <c r="E45" s="93">
        <v>-6</v>
      </c>
      <c r="F45" s="93">
        <v>-38</v>
      </c>
      <c r="G45" s="93">
        <v>-319</v>
      </c>
      <c r="H45" s="190">
        <f>'Revenue Schedule'!G72*Assumptions!H51</f>
        <v>-296.06849999999997</v>
      </c>
      <c r="I45" s="190">
        <f>'Revenue Schedule'!H72*Assumptions!I51</f>
        <v>-178.95695999999995</v>
      </c>
      <c r="J45" s="190">
        <f>'Revenue Schedule'!I72*Assumptions!J51</f>
        <v>590.55796799999996</v>
      </c>
      <c r="K45" s="190">
        <f>'Revenue Schedule'!J72*Assumptions!K51</f>
        <v>1535.4507168</v>
      </c>
      <c r="L45" s="190">
        <f>'Revenue Schedule'!K72*Assumptions!L51</f>
        <v>1919.313396</v>
      </c>
      <c r="M45" s="190">
        <f>'Revenue Schedule'!L72*Assumptions!M51</f>
        <v>2399.1417450000004</v>
      </c>
      <c r="N45" s="190">
        <f>'Revenue Schedule'!M72*Assumptions!N51</f>
        <v>2998.9271812500006</v>
      </c>
      <c r="O45" s="190">
        <f>'Revenue Schedule'!N72*Assumptions!O51</f>
        <v>3748.6589765625004</v>
      </c>
    </row>
    <row r="46" spans="1:17" x14ac:dyDescent="0.25">
      <c r="A46" t="s">
        <v>93</v>
      </c>
      <c r="B46" t="s">
        <v>9</v>
      </c>
      <c r="D46" s="93">
        <v>-194</v>
      </c>
      <c r="E46" s="93">
        <v>-126</v>
      </c>
      <c r="F46" s="93">
        <v>-84</v>
      </c>
      <c r="G46" s="93">
        <v>-17</v>
      </c>
      <c r="H46" s="190">
        <f>'Revenue Schedule'!G80*Assumptions!H52</f>
        <v>78.161999999999992</v>
      </c>
      <c r="I46" s="190">
        <f>'Revenue Schedule'!H80*Assumptions!I52</f>
        <v>218.85359999999994</v>
      </c>
      <c r="J46" s="190">
        <f>'Revenue Schedule'!I80*Assumptions!J52</f>
        <v>459.59255999999982</v>
      </c>
      <c r="K46" s="190">
        <f>'Revenue Schedule'!J80*Assumptions!K52</f>
        <v>714.92175999999972</v>
      </c>
      <c r="L46" s="190">
        <f>'Revenue Schedule'!K80*Assumptions!L52</f>
        <v>1000.8904639999996</v>
      </c>
      <c r="M46" s="190">
        <f>'Revenue Schedule'!L80*Assumptions!M52</f>
        <v>1401.2466495999993</v>
      </c>
      <c r="N46" s="190">
        <f>'Revenue Schedule'!M80*Assumptions!N52</f>
        <v>1961.7453094399989</v>
      </c>
      <c r="O46" s="190">
        <f>'Revenue Schedule'!N80*Assumptions!O52</f>
        <v>2746.4434332159985</v>
      </c>
    </row>
    <row r="47" spans="1:17" x14ac:dyDescent="0.25">
      <c r="A47" t="s">
        <v>94</v>
      </c>
      <c r="B47" t="s">
        <v>9</v>
      </c>
      <c r="D47" s="93">
        <v>-17</v>
      </c>
      <c r="E47" s="93">
        <v>-24</v>
      </c>
      <c r="F47" s="93">
        <v>-12</v>
      </c>
      <c r="G47" s="93">
        <v>-215</v>
      </c>
      <c r="H47" s="190">
        <f>Assumptions!H53</f>
        <v>-380</v>
      </c>
      <c r="I47" s="190">
        <f>Assumptions!I53</f>
        <v>-300</v>
      </c>
      <c r="J47" s="190">
        <f>Assumptions!J53</f>
        <v>-200</v>
      </c>
      <c r="K47" s="190">
        <f>Assumptions!K53</f>
        <v>-100</v>
      </c>
      <c r="L47" s="190">
        <f>Assumptions!L53</f>
        <v>-50</v>
      </c>
      <c r="M47" s="190">
        <f>Assumptions!M53</f>
        <v>0</v>
      </c>
      <c r="N47" s="190">
        <f>Assumptions!N53</f>
        <v>25</v>
      </c>
      <c r="O47" s="190">
        <f>Assumptions!O53</f>
        <v>50</v>
      </c>
    </row>
    <row r="48" spans="1:17" x14ac:dyDescent="0.25">
      <c r="A48" s="3" t="s">
        <v>97</v>
      </c>
      <c r="B48" s="3" t="s">
        <v>9</v>
      </c>
      <c r="C48" s="3"/>
      <c r="D48" s="168">
        <f t="shared" ref="D48:O48" si="14">SUM(D43:D47)</f>
        <v>-783</v>
      </c>
      <c r="E48" s="168">
        <f t="shared" si="14"/>
        <v>372</v>
      </c>
      <c r="F48" s="168">
        <f t="shared" si="14"/>
        <v>1079</v>
      </c>
      <c r="G48" s="168">
        <f t="shared" si="14"/>
        <v>1189</v>
      </c>
      <c r="H48" s="168">
        <f t="shared" si="14"/>
        <v>2533.4782599999999</v>
      </c>
      <c r="I48" s="168">
        <f t="shared" si="14"/>
        <v>5421.9752400000016</v>
      </c>
      <c r="J48" s="168">
        <f t="shared" si="14"/>
        <v>10560.538752999997</v>
      </c>
      <c r="K48" s="168">
        <f t="shared" si="14"/>
        <v>17501.4149268</v>
      </c>
      <c r="L48" s="168">
        <f t="shared" si="14"/>
        <v>25805.134260000003</v>
      </c>
      <c r="M48" s="168">
        <f t="shared" si="14"/>
        <v>34110.973394599998</v>
      </c>
      <c r="N48" s="168">
        <f t="shared" si="14"/>
        <v>44174.565690690004</v>
      </c>
      <c r="O48" s="168">
        <f t="shared" si="14"/>
        <v>54902.1717097785</v>
      </c>
    </row>
    <row r="49" spans="1:17" x14ac:dyDescent="0.25">
      <c r="A49" s="3" t="s">
        <v>790</v>
      </c>
      <c r="B49" t="s">
        <v>13</v>
      </c>
      <c r="D49" s="314">
        <f>IFERROR(D48/'Revenue Schedule'!C27,"")</f>
        <v>-9.0072472103991719E-2</v>
      </c>
      <c r="E49" s="314">
        <f>IFERROR(E48/'Revenue Schedule'!D27,"")</f>
        <v>2.7464008859357698E-2</v>
      </c>
      <c r="F49" s="314">
        <f>IFERROR(F48/'Revenue Schedule'!E27,"")</f>
        <v>4.9960642681853962E-2</v>
      </c>
      <c r="G49" s="314">
        <f>IFERROR(G48/'Revenue Schedule'!F27,"")</f>
        <v>2.1268983775468223E-2</v>
      </c>
      <c r="H49" s="314">
        <f>IFERROR(H48/'Revenue Schedule'!G27,"")</f>
        <v>1.8986695974292936E-2</v>
      </c>
      <c r="I49" s="314">
        <f>IFERROR(I48/'Revenue Schedule'!H27,"")</f>
        <v>2.9249174171635892E-2</v>
      </c>
      <c r="J49" s="314">
        <f>IFERROR(J48/'Revenue Schedule'!I27,"")</f>
        <v>4.1967978309954163E-2</v>
      </c>
      <c r="K49" s="314">
        <f>IFERROR(K48/'Revenue Schedule'!J27,"")</f>
        <v>5.3269461997063901E-2</v>
      </c>
      <c r="L49" s="314">
        <f>IFERROR(L48/'Revenue Schedule'!K27,"")</f>
        <v>6.2162170210521187E-2</v>
      </c>
      <c r="M49" s="314">
        <f>IFERROR(M48/'Revenue Schedule'!L27,"")</f>
        <v>6.6610455563971924E-2</v>
      </c>
      <c r="N49" s="314">
        <f>IFERROR(N48/'Revenue Schedule'!M27,"")</f>
        <v>7.1153874017910873E-2</v>
      </c>
      <c r="O49" s="314">
        <f>IFERROR(O48/'Revenue Schedule'!N27,"")</f>
        <v>7.6040904992468503E-2</v>
      </c>
    </row>
    <row r="50" spans="1:17" x14ac:dyDescent="0.25">
      <c r="D50" s="65"/>
      <c r="E50" s="65"/>
      <c r="F50" s="65"/>
      <c r="G50" s="65"/>
      <c r="H50" s="69"/>
      <c r="I50" s="69"/>
      <c r="J50" s="69"/>
      <c r="K50" s="69"/>
      <c r="L50" s="69"/>
      <c r="M50" s="69"/>
      <c r="N50" s="69"/>
      <c r="O50" s="69"/>
    </row>
    <row r="51" spans="1:17" x14ac:dyDescent="0.25">
      <c r="D51" s="65"/>
      <c r="E51" s="65"/>
      <c r="F51" s="65"/>
      <c r="G51" s="65"/>
      <c r="H51" s="69"/>
      <c r="I51" s="69"/>
      <c r="J51" s="69"/>
      <c r="K51" s="69"/>
      <c r="L51" s="69"/>
      <c r="M51" s="69"/>
      <c r="N51" s="69"/>
      <c r="O51" s="69"/>
    </row>
    <row r="52" spans="1:17" x14ac:dyDescent="0.25">
      <c r="A52" s="76"/>
      <c r="B52" s="76"/>
      <c r="D52" s="73"/>
      <c r="E52" s="73"/>
      <c r="F52" s="73"/>
      <c r="G52" s="73"/>
      <c r="H52" s="107"/>
      <c r="I52" s="107"/>
      <c r="J52" s="107"/>
      <c r="K52" s="107"/>
      <c r="L52" s="107"/>
      <c r="M52" s="107"/>
      <c r="N52" s="107"/>
      <c r="O52" s="107"/>
    </row>
    <row r="53" spans="1:17" x14ac:dyDescent="0.25">
      <c r="A53" s="3" t="s">
        <v>791</v>
      </c>
      <c r="B53" s="3"/>
      <c r="C53" s="3"/>
      <c r="D53" s="3"/>
      <c r="E53" s="3"/>
      <c r="F53" s="3"/>
      <c r="G53" s="3"/>
      <c r="H53" s="103"/>
      <c r="I53" s="103"/>
      <c r="J53" s="103"/>
      <c r="K53" s="103"/>
      <c r="L53" s="103"/>
      <c r="M53" s="103"/>
      <c r="N53" s="103"/>
      <c r="O53" s="103"/>
      <c r="Q53" s="78" t="str">
        <f>Data_Sources!$D$8&amp;" | "&amp;Data_Sources!$E$8&amp;" | "&amp;Data_Sources!$F$8</f>
        <v>Eternal Q4FY26 consolidated statement of cash flows | Adjustments to reconcile PBT | https://b.zmtcdn.com/investor-relations/Eternal_Shareholders_Letter_Q4FY26_Results.pdf</v>
      </c>
    </row>
    <row r="54" spans="1:17" x14ac:dyDescent="0.25">
      <c r="A54" s="8" t="s">
        <v>792</v>
      </c>
      <c r="B54" t="s">
        <v>9</v>
      </c>
      <c r="D54" s="151">
        <f t="shared" ref="D54:O54" si="15">D48</f>
        <v>-783</v>
      </c>
      <c r="E54" s="151">
        <f t="shared" si="15"/>
        <v>372</v>
      </c>
      <c r="F54" s="151">
        <f t="shared" si="15"/>
        <v>1079</v>
      </c>
      <c r="G54" s="151">
        <f t="shared" si="15"/>
        <v>1189</v>
      </c>
      <c r="H54" s="151">
        <f t="shared" si="15"/>
        <v>2533.4782599999999</v>
      </c>
      <c r="I54" s="151">
        <f t="shared" si="15"/>
        <v>5421.9752400000016</v>
      </c>
      <c r="J54" s="151">
        <f t="shared" si="15"/>
        <v>10560.538752999997</v>
      </c>
      <c r="K54" s="151">
        <f t="shared" si="15"/>
        <v>17501.4149268</v>
      </c>
      <c r="L54" s="151">
        <f t="shared" si="15"/>
        <v>25805.134260000003</v>
      </c>
      <c r="M54" s="151">
        <f t="shared" si="15"/>
        <v>34110.973394599998</v>
      </c>
      <c r="N54" s="151">
        <f t="shared" si="15"/>
        <v>44174.565690690004</v>
      </c>
      <c r="O54" s="151">
        <f t="shared" si="15"/>
        <v>54902.1717097785</v>
      </c>
    </row>
    <row r="55" spans="1:17" x14ac:dyDescent="0.25">
      <c r="A55" t="s">
        <v>793</v>
      </c>
      <c r="B55" t="s">
        <v>9</v>
      </c>
      <c r="D55" s="190">
        <f>-'ESOP Schedule'!C5</f>
        <v>0</v>
      </c>
      <c r="E55" s="190">
        <f>-'ESOP Schedule'!D5</f>
        <v>-515</v>
      </c>
      <c r="F55" s="190">
        <f>-'ESOP Schedule'!E5</f>
        <v>-798</v>
      </c>
      <c r="G55" s="190">
        <f>-'ESOP Schedule'!F5</f>
        <v>-819</v>
      </c>
      <c r="H55" s="190">
        <f>-'ESOP Schedule'!G5</f>
        <v>-850</v>
      </c>
      <c r="I55" s="190">
        <f>-'ESOP Schedule'!H5</f>
        <v>-880</v>
      </c>
      <c r="J55" s="190">
        <f>-'ESOP Schedule'!I5</f>
        <v>-900</v>
      </c>
      <c r="K55" s="190">
        <f>-'ESOP Schedule'!J5</f>
        <v>-920</v>
      </c>
      <c r="L55" s="190">
        <f>-'ESOP Schedule'!K5</f>
        <v>-940</v>
      </c>
      <c r="M55" s="190">
        <f>-'ESOP Schedule'!L5</f>
        <v>-960</v>
      </c>
      <c r="N55" s="190">
        <f>-'ESOP Schedule'!M5</f>
        <v>-980</v>
      </c>
      <c r="O55" s="190">
        <f>-'ESOP Schedule'!N5</f>
        <v>-1000</v>
      </c>
      <c r="P55" s="128" t="s">
        <v>98</v>
      </c>
    </row>
    <row r="56" spans="1:17" x14ac:dyDescent="0.25">
      <c r="A56" t="s">
        <v>794</v>
      </c>
      <c r="B56" t="s">
        <v>9</v>
      </c>
      <c r="D56" s="255" t="s">
        <v>1450</v>
      </c>
      <c r="E56" s="190">
        <f>Lease_Schedule!E23</f>
        <v>185</v>
      </c>
      <c r="F56" s="190">
        <f>Lease_Schedule!F23</f>
        <v>356</v>
      </c>
      <c r="G56" s="190">
        <f>Lease_Schedule!G23</f>
        <v>838</v>
      </c>
      <c r="H56" s="190">
        <f>Lease_Schedule!H23</f>
        <v>1387</v>
      </c>
      <c r="I56" s="190">
        <f>Lease_Schedule!I23</f>
        <v>2056</v>
      </c>
      <c r="J56" s="190">
        <f>Lease_Schedule!J23</f>
        <v>2843</v>
      </c>
      <c r="K56" s="190">
        <f>Lease_Schedule!K23</f>
        <v>3761</v>
      </c>
      <c r="L56" s="190">
        <f>Lease_Schedule!L23</f>
        <v>4809</v>
      </c>
      <c r="M56" s="190">
        <f>Lease_Schedule!M23</f>
        <v>5984</v>
      </c>
      <c r="N56" s="190">
        <f>Lease_Schedule!N23</f>
        <v>7298</v>
      </c>
      <c r="O56" s="190">
        <f>Lease_Schedule!O23</f>
        <v>8764</v>
      </c>
      <c r="P56" s="128" t="s">
        <v>446</v>
      </c>
    </row>
    <row r="57" spans="1:17" x14ac:dyDescent="0.25">
      <c r="A57" s="3" t="s">
        <v>1475</v>
      </c>
      <c r="B57" s="3" t="s">
        <v>9</v>
      </c>
      <c r="C57" s="3"/>
      <c r="D57" s="168">
        <f>D54+D55+N(D56)</f>
        <v>-783</v>
      </c>
      <c r="E57" s="168">
        <f t="shared" ref="E57:O57" si="16">E54+E55+E56</f>
        <v>42</v>
      </c>
      <c r="F57" s="168">
        <f t="shared" si="16"/>
        <v>637</v>
      </c>
      <c r="G57" s="168">
        <f t="shared" si="16"/>
        <v>1208</v>
      </c>
      <c r="H57" s="168">
        <f t="shared" si="16"/>
        <v>3070.4782599999999</v>
      </c>
      <c r="I57" s="168">
        <f t="shared" si="16"/>
        <v>6597.9752400000016</v>
      </c>
      <c r="J57" s="168">
        <f t="shared" si="16"/>
        <v>12503.538752999997</v>
      </c>
      <c r="K57" s="168">
        <f t="shared" si="16"/>
        <v>20342.4149268</v>
      </c>
      <c r="L57" s="168">
        <f t="shared" si="16"/>
        <v>29674.134260000003</v>
      </c>
      <c r="M57" s="168">
        <f t="shared" si="16"/>
        <v>39134.973394599998</v>
      </c>
      <c r="N57" s="168">
        <f t="shared" si="16"/>
        <v>50492.565690690004</v>
      </c>
      <c r="O57" s="168">
        <f t="shared" si="16"/>
        <v>62666.1717097785</v>
      </c>
      <c r="P57" s="128"/>
    </row>
    <row r="58" spans="1:17" x14ac:dyDescent="0.25">
      <c r="A58" t="s">
        <v>795</v>
      </c>
      <c r="B58" t="s">
        <v>13</v>
      </c>
      <c r="D58" s="259">
        <f t="shared" ref="D58:O58" si="17">IFERROR(D57/D6,"")</f>
        <v>-0.11060884305692895</v>
      </c>
      <c r="E58" s="259">
        <f t="shared" si="17"/>
        <v>3.4670629024269439E-3</v>
      </c>
      <c r="F58" s="259">
        <f t="shared" si="17"/>
        <v>3.1467667835795091E-2</v>
      </c>
      <c r="G58" s="259">
        <f t="shared" si="17"/>
        <v>2.222058715326319E-2</v>
      </c>
      <c r="H58" s="259">
        <f t="shared" si="17"/>
        <v>2.3520169901160608E-2</v>
      </c>
      <c r="I58" s="259">
        <f t="shared" si="17"/>
        <v>3.6358592946485385E-2</v>
      </c>
      <c r="J58" s="259">
        <f t="shared" si="17"/>
        <v>5.0733659169041885E-2</v>
      </c>
      <c r="K58" s="259">
        <f t="shared" si="17"/>
        <v>6.3196738236373673E-2</v>
      </c>
      <c r="L58" s="259">
        <f t="shared" si="17"/>
        <v>7.2940718160254991E-2</v>
      </c>
      <c r="M58" s="259">
        <f t="shared" si="17"/>
        <v>7.7964471185748688E-2</v>
      </c>
      <c r="N58" s="259">
        <f t="shared" si="17"/>
        <v>8.2958636531304725E-2</v>
      </c>
      <c r="O58" s="259">
        <f t="shared" si="17"/>
        <v>8.8522344079248735E-2</v>
      </c>
      <c r="P58" s="128" t="s">
        <v>99</v>
      </c>
    </row>
    <row r="59" spans="1:17" ht="60" x14ac:dyDescent="0.25">
      <c r="A59" t="s">
        <v>1473</v>
      </c>
      <c r="B59" t="s">
        <v>9</v>
      </c>
      <c r="D59" s="151">
        <f>D16-D57</f>
        <v>-427</v>
      </c>
      <c r="E59" s="151">
        <f>E16-E57</f>
        <v>0</v>
      </c>
      <c r="F59" s="151">
        <f>F16-F57</f>
        <v>0</v>
      </c>
      <c r="G59" s="151">
        <f>G16-G57</f>
        <v>0</v>
      </c>
      <c r="H59" s="151">
        <f>H16-H57</f>
        <v>-8361.6192221405108</v>
      </c>
      <c r="I59" s="151">
        <f>I16-I57</f>
        <v>-10243.393133561911</v>
      </c>
      <c r="J59" s="151">
        <f>J16-J57</f>
        <v>-12745.627745899172</v>
      </c>
      <c r="K59" s="151">
        <f>K16-K57</f>
        <v>-14723.631967014313</v>
      </c>
      <c r="L59" s="151">
        <f>L16-L57</f>
        <v>-15385.528343714668</v>
      </c>
      <c r="M59" s="151">
        <f>M16-M57</f>
        <v>-14617.010037801992</v>
      </c>
      <c r="N59" s="151">
        <f>N16-N57</f>
        <v>-10810.857491292045</v>
      </c>
      <c r="O59" s="151">
        <f>O16-O57</f>
        <v>-10818.768305545833</v>
      </c>
      <c r="P59" s="128" t="s">
        <v>1474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B99FD-3BE9-4F75-AABA-5AF75B782F44}">
  <dimension ref="A1:P55"/>
  <sheetViews>
    <sheetView topLeftCell="A19" zoomScale="60" zoomScaleNormal="60" workbookViewId="0">
      <selection activeCell="K57" sqref="K57"/>
    </sheetView>
  </sheetViews>
  <sheetFormatPr defaultRowHeight="15" x14ac:dyDescent="0.25"/>
  <cols>
    <col min="1" max="1" width="54.5703125" customWidth="1"/>
    <col min="2" max="4" width="10.85546875" customWidth="1"/>
    <col min="5" max="14" width="14.140625" customWidth="1"/>
    <col min="15" max="15" width="72.7109375" style="24" customWidth="1"/>
    <col min="16" max="16" width="47.28515625" customWidth="1"/>
  </cols>
  <sheetData>
    <row r="1" spans="1:16" ht="18.75" x14ac:dyDescent="0.3">
      <c r="A1" s="5" t="s">
        <v>346</v>
      </c>
      <c r="P1" s="137" t="str">
        <f>Data_Sources!$D$29&amp;" | "&amp;Data_Sources!$E$29&amp;" | "&amp;Data_Sources!$F$29</f>
        <v>Eternal Q4FY25 and Q4FY26 audited consolidated balance sheets | Annexure E | https://b.zmtcdn.com/investor-relations/Eternal_Shareholders_Letter_Q4FY26_Results.pdf</v>
      </c>
    </row>
    <row r="2" spans="1:16" x14ac:dyDescent="0.25">
      <c r="A2" s="4" t="s">
        <v>75</v>
      </c>
      <c r="B2" s="4" t="s">
        <v>5</v>
      </c>
      <c r="C2" s="6" t="s">
        <v>678</v>
      </c>
      <c r="D2" s="6" t="s">
        <v>679</v>
      </c>
      <c r="E2" s="6" t="s">
        <v>23</v>
      </c>
      <c r="F2" s="6" t="s">
        <v>6</v>
      </c>
      <c r="G2" s="6" t="s">
        <v>24</v>
      </c>
      <c r="H2" s="6" t="s">
        <v>25</v>
      </c>
      <c r="I2" s="6" t="s">
        <v>26</v>
      </c>
      <c r="J2" s="6" t="s">
        <v>27</v>
      </c>
      <c r="K2" s="6" t="s">
        <v>28</v>
      </c>
      <c r="L2" s="6" t="s">
        <v>29</v>
      </c>
      <c r="M2" s="6" t="s">
        <v>30</v>
      </c>
      <c r="N2" s="6" t="s">
        <v>7</v>
      </c>
      <c r="O2" s="25" t="s">
        <v>89</v>
      </c>
    </row>
    <row r="4" spans="1:16" x14ac:dyDescent="0.25">
      <c r="A4" s="8" t="s">
        <v>347</v>
      </c>
    </row>
    <row r="5" spans="1:16" x14ac:dyDescent="0.25">
      <c r="A5" t="s">
        <v>348</v>
      </c>
      <c r="B5" t="s">
        <v>9</v>
      </c>
      <c r="C5" s="18"/>
      <c r="D5" s="292">
        <f t="shared" ref="D5:N5" si="0">C9</f>
        <v>216</v>
      </c>
      <c r="E5" s="292">
        <f t="shared" si="0"/>
        <v>305</v>
      </c>
      <c r="F5" s="292">
        <f t="shared" si="0"/>
        <v>1016</v>
      </c>
      <c r="G5" s="292">
        <f t="shared" si="0"/>
        <v>2169</v>
      </c>
      <c r="H5" s="292">
        <f t="shared" si="0"/>
        <v>4238.3</v>
      </c>
      <c r="I5" s="292">
        <f t="shared" si="0"/>
        <v>5941.81</v>
      </c>
      <c r="J5" s="292">
        <f t="shared" si="0"/>
        <v>7389.2670000000016</v>
      </c>
      <c r="K5" s="292">
        <f t="shared" si="0"/>
        <v>8657.4869000000017</v>
      </c>
      <c r="L5" s="292">
        <f t="shared" si="0"/>
        <v>9693.9908300000006</v>
      </c>
      <c r="M5" s="292">
        <f t="shared" si="0"/>
        <v>10568.293581</v>
      </c>
      <c r="N5" s="292">
        <f t="shared" si="0"/>
        <v>11329.0555067</v>
      </c>
    </row>
    <row r="6" spans="1:16" x14ac:dyDescent="0.25">
      <c r="A6" t="s">
        <v>349</v>
      </c>
      <c r="B6" t="s">
        <v>9</v>
      </c>
      <c r="C6" s="292">
        <f t="shared" ref="C6:N6" si="1">C16</f>
        <v>0</v>
      </c>
      <c r="D6" s="292">
        <f t="shared" si="1"/>
        <v>202</v>
      </c>
      <c r="E6" s="292">
        <f t="shared" si="1"/>
        <v>931</v>
      </c>
      <c r="F6" s="292">
        <f t="shared" si="1"/>
        <v>1746</v>
      </c>
      <c r="G6" s="292">
        <f t="shared" si="1"/>
        <v>3200</v>
      </c>
      <c r="H6" s="292">
        <f t="shared" si="1"/>
        <v>3500</v>
      </c>
      <c r="I6" s="292">
        <f t="shared" si="1"/>
        <v>3800</v>
      </c>
      <c r="J6" s="292">
        <f t="shared" si="1"/>
        <v>4100</v>
      </c>
      <c r="K6" s="292">
        <f t="shared" si="1"/>
        <v>4275</v>
      </c>
      <c r="L6" s="292">
        <f t="shared" si="1"/>
        <v>4450</v>
      </c>
      <c r="M6" s="292">
        <f t="shared" si="1"/>
        <v>4625</v>
      </c>
      <c r="N6" s="292">
        <f t="shared" si="1"/>
        <v>4800</v>
      </c>
      <c r="O6" s="26"/>
    </row>
    <row r="7" spans="1:16" x14ac:dyDescent="0.25">
      <c r="A7" t="s">
        <v>350</v>
      </c>
      <c r="B7" t="s">
        <v>9</v>
      </c>
      <c r="C7" s="18"/>
      <c r="D7" s="292">
        <f>-(D5+D6-D9)</f>
        <v>-113</v>
      </c>
      <c r="E7" s="292">
        <f>-(E5+E6-E9)</f>
        <v>-220</v>
      </c>
      <c r="F7" s="292">
        <f>-(F5+F6-F9)</f>
        <v>-593</v>
      </c>
      <c r="G7" s="59">
        <f>-AVERAGE(G5,G5+G6)*Assumptions!$B$119</f>
        <v>-1130.7</v>
      </c>
      <c r="H7" s="59">
        <f>-AVERAGE(H5,H5+H6)*Assumptions!$B$119</f>
        <v>-1796.49</v>
      </c>
      <c r="I7" s="59">
        <f>-AVERAGE(I5,I5+I6)*Assumptions!$B$119</f>
        <v>-2352.5430000000001</v>
      </c>
      <c r="J7" s="59">
        <f>-AVERAGE(J5,J5+J6)*Assumptions!$B$119</f>
        <v>-2831.7801000000004</v>
      </c>
      <c r="K7" s="59">
        <f>-AVERAGE(K5,K5+K6)*Assumptions!$B$119</f>
        <v>-3238.4960700000006</v>
      </c>
      <c r="L7" s="59">
        <f>-AVERAGE(L5,L5+L6)*Assumptions!$B$119</f>
        <v>-3575.6972490000003</v>
      </c>
      <c r="M7" s="59">
        <f>-AVERAGE(M5,M5+M6)*Assumptions!$B$119</f>
        <v>-3864.2380742999999</v>
      </c>
      <c r="N7" s="59">
        <f>-AVERAGE(N5,N5+N6)*Assumptions!$B$119</f>
        <v>-4118.71665201</v>
      </c>
      <c r="O7" s="26"/>
    </row>
    <row r="8" spans="1:16" x14ac:dyDescent="0.25">
      <c r="C8" s="18"/>
      <c r="D8" s="18"/>
      <c r="E8" s="18"/>
      <c r="F8" s="18"/>
      <c r="G8" s="68"/>
      <c r="H8" s="68"/>
      <c r="I8" s="68"/>
      <c r="J8" s="68"/>
      <c r="K8" s="68"/>
      <c r="L8" s="68"/>
      <c r="M8" s="68"/>
      <c r="N8" s="68"/>
      <c r="O8" s="26"/>
    </row>
    <row r="9" spans="1:16" x14ac:dyDescent="0.25">
      <c r="A9" s="3" t="s">
        <v>351</v>
      </c>
      <c r="B9" t="s">
        <v>9</v>
      </c>
      <c r="C9" s="29">
        <v>216</v>
      </c>
      <c r="D9" s="29">
        <v>305</v>
      </c>
      <c r="E9" s="29">
        <v>1016</v>
      </c>
      <c r="F9" s="29">
        <v>2169</v>
      </c>
      <c r="G9" s="325">
        <f>G5+G6+G7</f>
        <v>4238.3</v>
      </c>
      <c r="H9" s="325">
        <f t="shared" ref="H9:N9" si="2">H5+H6+H7</f>
        <v>5941.81</v>
      </c>
      <c r="I9" s="325">
        <f t="shared" si="2"/>
        <v>7389.2670000000016</v>
      </c>
      <c r="J9" s="325">
        <f t="shared" si="2"/>
        <v>8657.4869000000017</v>
      </c>
      <c r="K9" s="325">
        <f t="shared" si="2"/>
        <v>9693.9908300000006</v>
      </c>
      <c r="L9" s="325">
        <f t="shared" si="2"/>
        <v>10568.293581</v>
      </c>
      <c r="M9" s="325">
        <f t="shared" si="2"/>
        <v>11329.0555067</v>
      </c>
      <c r="N9" s="325">
        <f t="shared" si="2"/>
        <v>12010.338854690001</v>
      </c>
    </row>
    <row r="10" spans="1:16" x14ac:dyDescent="0.25">
      <c r="A10" t="s">
        <v>352</v>
      </c>
      <c r="B10" t="s">
        <v>13</v>
      </c>
      <c r="C10" s="60">
        <f t="shared" ref="C10:N10" si="3">IFERROR(-C7/AVERAGE(C5,C9),"")</f>
        <v>0</v>
      </c>
      <c r="D10" s="60">
        <f t="shared" si="3"/>
        <v>0.43378119001919385</v>
      </c>
      <c r="E10" s="60">
        <f t="shared" si="3"/>
        <v>0.33308099924299772</v>
      </c>
      <c r="F10" s="60">
        <f t="shared" si="3"/>
        <v>0.37237048665620093</v>
      </c>
      <c r="G10" s="60">
        <f t="shared" si="3"/>
        <v>0.35294117647058826</v>
      </c>
      <c r="H10" s="60">
        <f t="shared" si="3"/>
        <v>0.3529411764705882</v>
      </c>
      <c r="I10" s="60">
        <f t="shared" si="3"/>
        <v>0.3529411764705882</v>
      </c>
      <c r="J10" s="60">
        <f t="shared" si="3"/>
        <v>0.3529411764705882</v>
      </c>
      <c r="K10" s="60">
        <f t="shared" si="3"/>
        <v>0.35294117647058826</v>
      </c>
      <c r="L10" s="60">
        <f t="shared" si="3"/>
        <v>0.35294117647058826</v>
      </c>
      <c r="M10" s="60">
        <f t="shared" si="3"/>
        <v>0.3529411764705882</v>
      </c>
      <c r="N10" s="60">
        <f t="shared" si="3"/>
        <v>0.3529411764705882</v>
      </c>
    </row>
    <row r="11" spans="1:16" x14ac:dyDescent="0.25">
      <c r="C11" s="16"/>
      <c r="D11" s="16"/>
      <c r="E11" s="16"/>
      <c r="F11" s="16"/>
      <c r="G11" s="106"/>
      <c r="H11" s="106"/>
      <c r="I11" s="106"/>
      <c r="J11" s="106"/>
      <c r="K11" s="106"/>
      <c r="L11" s="106"/>
      <c r="M11" s="106"/>
      <c r="N11" s="106"/>
    </row>
    <row r="12" spans="1:16" x14ac:dyDescent="0.25">
      <c r="C12" s="16"/>
      <c r="D12" s="16"/>
      <c r="E12" s="16"/>
      <c r="F12" s="16"/>
      <c r="G12" s="106"/>
      <c r="H12" s="106"/>
      <c r="I12" s="106"/>
      <c r="J12" s="106"/>
      <c r="K12" s="106"/>
      <c r="L12" s="106"/>
      <c r="M12" s="106"/>
      <c r="N12" s="106"/>
    </row>
    <row r="13" spans="1:16" x14ac:dyDescent="0.25">
      <c r="A13" s="10" t="s">
        <v>370</v>
      </c>
      <c r="G13" s="70"/>
      <c r="H13" s="70"/>
      <c r="I13" s="70"/>
      <c r="J13" s="70"/>
      <c r="K13" s="70"/>
      <c r="L13" s="70"/>
      <c r="M13" s="70"/>
      <c r="N13" s="70"/>
      <c r="P13" s="78" t="str">
        <f>Data_Sources!$D$27&amp;" | "&amp;Data_Sources!$E$27&amp;" | "&amp;Data_Sources!$F$27</f>
        <v>Eternal Q4FY26 consolidated statement of cash flows | Adjustments to reconcile profit before tax; owned/ROU split derived from the PPE roll-forward | https://b.zmtcdn.com/investor-relations/Eternal_Shareholders_Letter_Q4FY26_Results.pdf</v>
      </c>
    </row>
    <row r="14" spans="1:16" x14ac:dyDescent="0.25">
      <c r="A14" t="s">
        <v>104</v>
      </c>
      <c r="B14" t="s">
        <v>9</v>
      </c>
      <c r="C14" s="18"/>
      <c r="D14" s="18"/>
      <c r="E14" s="18"/>
      <c r="F14" s="18"/>
      <c r="G14" s="59">
        <f>Assumptions!H18*Assumptions!H111</f>
        <v>2750</v>
      </c>
      <c r="H14" s="59">
        <f>Assumptions!I18*Assumptions!I111</f>
        <v>3000</v>
      </c>
      <c r="I14" s="59">
        <f>Assumptions!J18*Assumptions!J111</f>
        <v>3250</v>
      </c>
      <c r="J14" s="59">
        <f>Assumptions!K18*Assumptions!K111</f>
        <v>3500</v>
      </c>
      <c r="K14" s="59">
        <f>Assumptions!L18*Assumptions!L111</f>
        <v>3625</v>
      </c>
      <c r="L14" s="59">
        <f>Assumptions!M18*Assumptions!M111</f>
        <v>3750</v>
      </c>
      <c r="M14" s="59">
        <f>Assumptions!N18*Assumptions!N111</f>
        <v>3875</v>
      </c>
      <c r="N14" s="59">
        <f>Assumptions!O18*Assumptions!O111</f>
        <v>4000</v>
      </c>
      <c r="O14"/>
    </row>
    <row r="15" spans="1:16" x14ac:dyDescent="0.25">
      <c r="A15" t="s">
        <v>371</v>
      </c>
      <c r="B15" t="s">
        <v>9</v>
      </c>
      <c r="C15" s="18"/>
      <c r="D15" s="18"/>
      <c r="E15" s="18"/>
      <c r="F15" s="18"/>
      <c r="G15" s="59">
        <f>Assumptions!H112</f>
        <v>450</v>
      </c>
      <c r="H15" s="59">
        <f>Assumptions!I112</f>
        <v>500</v>
      </c>
      <c r="I15" s="59">
        <f>Assumptions!J112</f>
        <v>550</v>
      </c>
      <c r="J15" s="59">
        <f>Assumptions!K112</f>
        <v>600</v>
      </c>
      <c r="K15" s="59">
        <f>Assumptions!L112</f>
        <v>650</v>
      </c>
      <c r="L15" s="59">
        <f>Assumptions!M112</f>
        <v>700</v>
      </c>
      <c r="M15" s="59">
        <f>Assumptions!N112</f>
        <v>750</v>
      </c>
      <c r="N15" s="59">
        <f>Assumptions!O112</f>
        <v>800</v>
      </c>
    </row>
    <row r="16" spans="1:16" x14ac:dyDescent="0.25">
      <c r="A16" s="3" t="s">
        <v>105</v>
      </c>
      <c r="B16" t="s">
        <v>9</v>
      </c>
      <c r="C16" s="27"/>
      <c r="D16" s="29">
        <v>202</v>
      </c>
      <c r="E16" s="254">
        <v>931</v>
      </c>
      <c r="F16" s="29">
        <v>1746</v>
      </c>
      <c r="G16" s="325">
        <f t="shared" ref="G16:N16" si="4">G14+G15</f>
        <v>3200</v>
      </c>
      <c r="H16" s="325">
        <f t="shared" si="4"/>
        <v>3500</v>
      </c>
      <c r="I16" s="325">
        <f t="shared" si="4"/>
        <v>3800</v>
      </c>
      <c r="J16" s="325">
        <f t="shared" si="4"/>
        <v>4100</v>
      </c>
      <c r="K16" s="325">
        <f t="shared" si="4"/>
        <v>4275</v>
      </c>
      <c r="L16" s="325">
        <f t="shared" si="4"/>
        <v>4450</v>
      </c>
      <c r="M16" s="325">
        <f t="shared" si="4"/>
        <v>4625</v>
      </c>
      <c r="N16" s="325">
        <f t="shared" si="4"/>
        <v>4800</v>
      </c>
    </row>
    <row r="17" spans="1:15" x14ac:dyDescent="0.25">
      <c r="G17" s="70"/>
      <c r="H17" s="70"/>
      <c r="I17" s="70"/>
      <c r="J17" s="70"/>
      <c r="K17" s="70"/>
      <c r="L17" s="70"/>
      <c r="M17" s="70"/>
      <c r="N17" s="70"/>
    </row>
    <row r="18" spans="1:15" x14ac:dyDescent="0.25">
      <c r="A18" s="8" t="s">
        <v>353</v>
      </c>
      <c r="G18" s="70"/>
      <c r="H18" s="70"/>
      <c r="I18" s="70"/>
      <c r="J18" s="70"/>
      <c r="K18" s="70"/>
      <c r="L18" s="70"/>
      <c r="M18" s="70"/>
      <c r="N18" s="70"/>
    </row>
    <row r="19" spans="1:15" x14ac:dyDescent="0.25">
      <c r="A19" t="s">
        <v>354</v>
      </c>
      <c r="B19" t="s">
        <v>9</v>
      </c>
      <c r="C19" s="18"/>
      <c r="D19" s="292">
        <f t="shared" ref="D19:N19" si="5">C24</f>
        <v>427</v>
      </c>
      <c r="E19" s="292">
        <f t="shared" si="5"/>
        <v>690</v>
      </c>
      <c r="F19" s="292">
        <f t="shared" si="5"/>
        <v>1918</v>
      </c>
      <c r="G19" s="292">
        <f t="shared" si="5"/>
        <v>4294</v>
      </c>
      <c r="H19" s="292">
        <f t="shared" si="5"/>
        <v>6860.9089766454354</v>
      </c>
      <c r="I19" s="292">
        <f t="shared" si="5"/>
        <v>9365.0466722532146</v>
      </c>
      <c r="J19" s="292">
        <f t="shared" si="5"/>
        <v>11836.324367508028</v>
      </c>
      <c r="K19" s="292">
        <f t="shared" si="5"/>
        <v>14292.956493609467</v>
      </c>
      <c r="L19" s="292">
        <f t="shared" si="5"/>
        <v>16596.96002965248</v>
      </c>
      <c r="M19" s="292">
        <f t="shared" si="5"/>
        <v>18766.449037428043</v>
      </c>
      <c r="N19" s="292">
        <f t="shared" si="5"/>
        <v>20803.88362046202</v>
      </c>
    </row>
    <row r="20" spans="1:15" x14ac:dyDescent="0.25">
      <c r="A20" t="s">
        <v>355</v>
      </c>
      <c r="B20" t="s">
        <v>9</v>
      </c>
      <c r="C20" s="18"/>
      <c r="D20" s="292">
        <f>D24-D19-D22-D23</f>
        <v>439</v>
      </c>
      <c r="E20" s="292">
        <f>E24-E19-E22-E23</f>
        <v>1584</v>
      </c>
      <c r="F20" s="292">
        <f>F24-F19-F22-F23</f>
        <v>3074</v>
      </c>
      <c r="G20" s="59">
        <f>Assumptions!H18*Assumptions!$B$125</f>
        <v>3589.5966029723991</v>
      </c>
      <c r="H20" s="59">
        <f>Assumptions!I18*Assumptions!$B$125</f>
        <v>3915.9235668789806</v>
      </c>
      <c r="I20" s="59">
        <f>Assumptions!J18*Assumptions!$B$125</f>
        <v>4242.2505307855627</v>
      </c>
      <c r="J20" s="59">
        <f>Assumptions!K18*Assumptions!$B$125</f>
        <v>4568.5774946921447</v>
      </c>
      <c r="K20" s="59">
        <f>Assumptions!L18*Assumptions!$B$125</f>
        <v>4731.7409766454348</v>
      </c>
      <c r="L20" s="59">
        <f>Assumptions!M18*Assumptions!$B$125</f>
        <v>4894.9044585987258</v>
      </c>
      <c r="M20" s="59">
        <f>Assumptions!N18*Assumptions!$B$125</f>
        <v>5058.0679405520168</v>
      </c>
      <c r="N20" s="59">
        <f>Assumptions!O18*Assumptions!$B$125</f>
        <v>5221.2314225053078</v>
      </c>
      <c r="O20"/>
    </row>
    <row r="21" spans="1:15" x14ac:dyDescent="0.25">
      <c r="A21" t="s">
        <v>356</v>
      </c>
      <c r="B21" t="s">
        <v>9</v>
      </c>
      <c r="C21" s="18"/>
      <c r="D21" s="18"/>
      <c r="E21" s="18"/>
      <c r="F21" s="18"/>
      <c r="G21" s="59">
        <f>Lease_Schedule!H8</f>
        <v>459.20000000000005</v>
      </c>
      <c r="H21" s="59">
        <f>Lease_Schedule!I8</f>
        <v>765.74738543113654</v>
      </c>
      <c r="I21" s="59">
        <f>Lease_Schedule!J8</f>
        <v>1095.6304213787951</v>
      </c>
      <c r="J21" s="59">
        <f>Lease_Schedule!K8</f>
        <v>1441.4340821408634</v>
      </c>
      <c r="K21" s="59">
        <f>Lease_Schedule!L8</f>
        <v>1793.0499933661788</v>
      </c>
      <c r="L21" s="59">
        <f>Lease_Schedule!M8</f>
        <v>2122.2539799220899</v>
      </c>
      <c r="M21" s="59">
        <f>Lease_Schedule!N8</f>
        <v>2412.1346437345655</v>
      </c>
      <c r="N21" s="59">
        <f>Lease_Schedule!O8</f>
        <v>2641.4027860574456</v>
      </c>
    </row>
    <row r="22" spans="1:15" ht="45" x14ac:dyDescent="0.25">
      <c r="A22" t="s">
        <v>357</v>
      </c>
      <c r="B22" t="s">
        <v>9</v>
      </c>
      <c r="C22" s="18"/>
      <c r="D22" s="254">
        <v>-176</v>
      </c>
      <c r="E22" s="292">
        <f>-(E37-E34-E36)</f>
        <v>-356</v>
      </c>
      <c r="F22" s="254">
        <v>-698</v>
      </c>
      <c r="G22" s="59">
        <f>-AVERAGE(G19,G19+G20+G21)*Assumptions!$B$120</f>
        <v>-1390.0476263269638</v>
      </c>
      <c r="H22" s="59">
        <f>-AVERAGE(H19,H19+H20+H21)*Assumptions!$B$120</f>
        <v>-2024.3837796161083</v>
      </c>
      <c r="I22" s="59">
        <f>-AVERAGE(I19,I19+I20+I21)*Assumptions!$B$120</f>
        <v>-2647.4771726337863</v>
      </c>
      <c r="J22" s="59">
        <f>-AVERAGE(J19,J19+J20+J21)*Assumptions!$B$120</f>
        <v>-3265.0926343033975</v>
      </c>
      <c r="K22" s="59">
        <f>-AVERAGE(K19,K19+K20+K21)*Assumptions!$B$120</f>
        <v>-3862.1774352953598</v>
      </c>
      <c r="L22" s="59">
        <f>-AVERAGE(L19,L19+L20+L21)*Assumptions!$B$120</f>
        <v>-4423.2186347608349</v>
      </c>
      <c r="M22" s="59">
        <f>-AVERAGE(M19,M19+M20+M21)*Assumptions!$B$120</f>
        <v>-4950.3410725056938</v>
      </c>
      <c r="N22" s="59">
        <f>-AVERAGE(N19,N19+N20+N21)*Assumptions!$B$120</f>
        <v>-5441.7441594435477</v>
      </c>
      <c r="O22" s="128" t="s">
        <v>961</v>
      </c>
    </row>
    <row r="23" spans="1:15" x14ac:dyDescent="0.25">
      <c r="A23" t="s">
        <v>358</v>
      </c>
      <c r="B23" t="s">
        <v>9</v>
      </c>
      <c r="C23" s="18"/>
      <c r="D23" s="18"/>
      <c r="E23" s="18"/>
      <c r="F23" s="18"/>
      <c r="G23" s="59">
        <f>Lease_Schedule!H10</f>
        <v>-91.84</v>
      </c>
      <c r="H23" s="59">
        <f>Lease_Schedule!I10</f>
        <v>-153.14947708622731</v>
      </c>
      <c r="I23" s="59">
        <f>Lease_Schedule!J10</f>
        <v>-219.12608427575898</v>
      </c>
      <c r="J23" s="59">
        <f>Lease_Schedule!K10</f>
        <v>-288.2868164281727</v>
      </c>
      <c r="K23" s="59">
        <f>Lease_Schedule!L10</f>
        <v>-358.60999867323574</v>
      </c>
      <c r="L23" s="59">
        <f>Lease_Schedule!M10</f>
        <v>-424.45079598441794</v>
      </c>
      <c r="M23" s="59">
        <f>Lease_Schedule!N10</f>
        <v>-482.42692874691312</v>
      </c>
      <c r="N23" s="59">
        <f>Lease_Schedule!O10</f>
        <v>-528.28055721148905</v>
      </c>
    </row>
    <row r="24" spans="1:15" x14ac:dyDescent="0.25">
      <c r="A24" s="3" t="s">
        <v>359</v>
      </c>
      <c r="B24" t="s">
        <v>9</v>
      </c>
      <c r="C24" s="29">
        <v>427</v>
      </c>
      <c r="D24" s="29">
        <v>690</v>
      </c>
      <c r="E24" s="29">
        <v>1918</v>
      </c>
      <c r="F24" s="29">
        <v>4294</v>
      </c>
      <c r="G24" s="325">
        <f>G19+G20+G21+G22+G23</f>
        <v>6860.9089766454354</v>
      </c>
      <c r="H24" s="325">
        <f t="shared" ref="H24:N24" si="6">H19+H20+H21+H22+H23</f>
        <v>9365.0466722532146</v>
      </c>
      <c r="I24" s="325">
        <f t="shared" si="6"/>
        <v>11836.324367508028</v>
      </c>
      <c r="J24" s="325">
        <f t="shared" si="6"/>
        <v>14292.956493609467</v>
      </c>
      <c r="K24" s="325">
        <f t="shared" si="6"/>
        <v>16596.96002965248</v>
      </c>
      <c r="L24" s="325">
        <f t="shared" si="6"/>
        <v>18766.449037428043</v>
      </c>
      <c r="M24" s="325">
        <f t="shared" si="6"/>
        <v>20803.88362046202</v>
      </c>
      <c r="N24" s="325">
        <f t="shared" si="6"/>
        <v>22696.493112369739</v>
      </c>
    </row>
    <row r="25" spans="1:15" x14ac:dyDescent="0.25">
      <c r="G25" s="70"/>
      <c r="H25" s="70"/>
      <c r="I25" s="70"/>
      <c r="J25" s="70"/>
      <c r="K25" s="70"/>
      <c r="L25" s="70"/>
      <c r="M25" s="70"/>
      <c r="N25" s="70"/>
    </row>
    <row r="26" spans="1:15" x14ac:dyDescent="0.25">
      <c r="G26" s="70"/>
      <c r="H26" s="70"/>
      <c r="I26" s="70"/>
      <c r="J26" s="70"/>
      <c r="K26" s="70"/>
      <c r="L26" s="70"/>
      <c r="M26" s="70"/>
      <c r="N26" s="70"/>
    </row>
    <row r="27" spans="1:15" x14ac:dyDescent="0.25">
      <c r="G27" s="70"/>
      <c r="H27" s="70"/>
      <c r="I27" s="70"/>
      <c r="J27" s="70"/>
      <c r="K27" s="70"/>
      <c r="L27" s="70"/>
      <c r="M27" s="70"/>
      <c r="N27" s="70"/>
    </row>
    <row r="28" spans="1:15" x14ac:dyDescent="0.25">
      <c r="A28" s="8" t="s">
        <v>360</v>
      </c>
      <c r="G28" s="70"/>
      <c r="H28" s="70"/>
      <c r="I28" s="70"/>
      <c r="J28" s="70"/>
      <c r="K28" s="70"/>
      <c r="L28" s="70"/>
      <c r="M28" s="70"/>
      <c r="N28" s="70"/>
    </row>
    <row r="29" spans="1:15" x14ac:dyDescent="0.25">
      <c r="A29" t="s">
        <v>361</v>
      </c>
      <c r="B29" t="s">
        <v>9</v>
      </c>
      <c r="C29" s="18"/>
      <c r="D29" s="292">
        <f t="shared" ref="D29:N29" si="7">C31</f>
        <v>5708</v>
      </c>
      <c r="E29" s="292">
        <f t="shared" si="7"/>
        <v>5471</v>
      </c>
      <c r="F29" s="292">
        <f t="shared" si="7"/>
        <v>6649</v>
      </c>
      <c r="G29" s="292">
        <f t="shared" si="7"/>
        <v>6348</v>
      </c>
      <c r="H29" s="292">
        <f t="shared" si="7"/>
        <v>6030.6</v>
      </c>
      <c r="I29" s="292">
        <f t="shared" si="7"/>
        <v>5729.0700000000006</v>
      </c>
      <c r="J29" s="292">
        <f t="shared" si="7"/>
        <v>5442.616500000001</v>
      </c>
      <c r="K29" s="292">
        <f t="shared" si="7"/>
        <v>5170.4856750000008</v>
      </c>
      <c r="L29" s="292">
        <f t="shared" si="7"/>
        <v>4911.9613912500008</v>
      </c>
      <c r="M29" s="292">
        <f t="shared" si="7"/>
        <v>4666.3633216875005</v>
      </c>
      <c r="N29" s="292">
        <f t="shared" si="7"/>
        <v>4433.0451556031257</v>
      </c>
    </row>
    <row r="30" spans="1:15" ht="26.1" customHeight="1" x14ac:dyDescent="0.25">
      <c r="A30" t="s">
        <v>362</v>
      </c>
      <c r="B30" t="s">
        <v>9</v>
      </c>
      <c r="C30" s="18"/>
      <c r="D30" s="292">
        <f>D31-D29</f>
        <v>-237</v>
      </c>
      <c r="E30" s="254">
        <v>-287</v>
      </c>
      <c r="F30" s="254">
        <v>-306</v>
      </c>
      <c r="G30" s="59">
        <f>-Assumptions!H128</f>
        <v>-317.40000000000003</v>
      </c>
      <c r="H30" s="59">
        <f>-Assumptions!I128</f>
        <v>-301.53000000000003</v>
      </c>
      <c r="I30" s="59">
        <f>-Assumptions!J128</f>
        <v>-286.45350000000002</v>
      </c>
      <c r="J30" s="59">
        <f>-Assumptions!K128</f>
        <v>-272.13082500000007</v>
      </c>
      <c r="K30" s="59">
        <f>-Assumptions!L128</f>
        <v>-258.52428375000005</v>
      </c>
      <c r="L30" s="59">
        <f>-Assumptions!M128</f>
        <v>-245.59806956250006</v>
      </c>
      <c r="M30" s="59">
        <f>-Assumptions!N128</f>
        <v>-233.31816608437504</v>
      </c>
      <c r="N30" s="59">
        <f>-Assumptions!O128</f>
        <v>-221.6522577801563</v>
      </c>
      <c r="O30" s="128" t="s">
        <v>982</v>
      </c>
    </row>
    <row r="31" spans="1:15" x14ac:dyDescent="0.25">
      <c r="A31" s="3" t="s">
        <v>363</v>
      </c>
      <c r="B31" t="s">
        <v>9</v>
      </c>
      <c r="C31" s="29">
        <v>5708</v>
      </c>
      <c r="D31" s="29">
        <v>5471</v>
      </c>
      <c r="E31" s="29">
        <v>6649</v>
      </c>
      <c r="F31" s="29">
        <v>6348</v>
      </c>
      <c r="G31" s="325">
        <f>G29+G30</f>
        <v>6030.6</v>
      </c>
      <c r="H31" s="325">
        <f t="shared" ref="H31:N31" si="8">H29+H30</f>
        <v>5729.0700000000006</v>
      </c>
      <c r="I31" s="325">
        <f t="shared" si="8"/>
        <v>5442.616500000001</v>
      </c>
      <c r="J31" s="325">
        <f t="shared" si="8"/>
        <v>5170.4856750000008</v>
      </c>
      <c r="K31" s="325">
        <f t="shared" si="8"/>
        <v>4911.9613912500008</v>
      </c>
      <c r="L31" s="325">
        <f t="shared" si="8"/>
        <v>4666.3633216875005</v>
      </c>
      <c r="M31" s="325">
        <f t="shared" si="8"/>
        <v>4433.0451556031257</v>
      </c>
      <c r="N31" s="325">
        <f t="shared" si="8"/>
        <v>4211.3928978229696</v>
      </c>
    </row>
    <row r="32" spans="1:15" x14ac:dyDescent="0.25">
      <c r="F32" s="183"/>
      <c r="G32" s="70"/>
      <c r="H32" s="70"/>
      <c r="I32" s="70"/>
      <c r="J32" s="70"/>
      <c r="K32" s="70"/>
      <c r="L32" s="70"/>
      <c r="M32" s="70"/>
      <c r="N32" s="70"/>
    </row>
    <row r="33" spans="1:15" x14ac:dyDescent="0.25">
      <c r="A33" s="10" t="s">
        <v>364</v>
      </c>
      <c r="G33" s="70"/>
      <c r="H33" s="70"/>
      <c r="I33" s="70"/>
      <c r="J33" s="70"/>
      <c r="K33" s="70"/>
      <c r="L33" s="70"/>
      <c r="M33" s="70"/>
      <c r="N33" s="70"/>
    </row>
    <row r="34" spans="1:15" x14ac:dyDescent="0.25">
      <c r="A34" t="s">
        <v>365</v>
      </c>
      <c r="B34" t="s">
        <v>9</v>
      </c>
      <c r="C34" s="18"/>
      <c r="D34" s="292">
        <f>-D7</f>
        <v>113</v>
      </c>
      <c r="E34" s="292">
        <f>-E7</f>
        <v>220</v>
      </c>
      <c r="F34" s="292">
        <f>-F7</f>
        <v>593</v>
      </c>
      <c r="G34" s="292">
        <f>-G7</f>
        <v>1130.7</v>
      </c>
      <c r="H34" s="292">
        <f t="shared" ref="H34:N34" si="9">-H7</f>
        <v>1796.49</v>
      </c>
      <c r="I34" s="292">
        <f t="shared" si="9"/>
        <v>2352.5430000000001</v>
      </c>
      <c r="J34" s="292">
        <f t="shared" si="9"/>
        <v>2831.7801000000004</v>
      </c>
      <c r="K34" s="292">
        <f t="shared" si="9"/>
        <v>3238.4960700000006</v>
      </c>
      <c r="L34" s="292">
        <f t="shared" si="9"/>
        <v>3575.6972490000003</v>
      </c>
      <c r="M34" s="292">
        <f t="shared" si="9"/>
        <v>3864.2380742999999</v>
      </c>
      <c r="N34" s="292">
        <f t="shared" si="9"/>
        <v>4118.71665201</v>
      </c>
    </row>
    <row r="35" spans="1:15" x14ac:dyDescent="0.25">
      <c r="A35" t="s">
        <v>366</v>
      </c>
      <c r="B35" t="s">
        <v>9</v>
      </c>
      <c r="C35" s="18"/>
      <c r="D35" s="292">
        <f>-D22</f>
        <v>176</v>
      </c>
      <c r="E35" s="292">
        <f>-E22</f>
        <v>356</v>
      </c>
      <c r="F35" s="292">
        <f>-F22</f>
        <v>698</v>
      </c>
      <c r="G35" s="292">
        <f>-G22</f>
        <v>1390.0476263269638</v>
      </c>
      <c r="H35" s="292">
        <f t="shared" ref="H35:N35" si="10">-H22</f>
        <v>2024.3837796161083</v>
      </c>
      <c r="I35" s="292">
        <f t="shared" si="10"/>
        <v>2647.4771726337863</v>
      </c>
      <c r="J35" s="292">
        <f t="shared" si="10"/>
        <v>3265.0926343033975</v>
      </c>
      <c r="K35" s="292">
        <f t="shared" si="10"/>
        <v>3862.1774352953598</v>
      </c>
      <c r="L35" s="292">
        <f t="shared" si="10"/>
        <v>4423.2186347608349</v>
      </c>
      <c r="M35" s="292">
        <f t="shared" si="10"/>
        <v>4950.3410725056938</v>
      </c>
      <c r="N35" s="292">
        <f t="shared" si="10"/>
        <v>5441.7441594435477</v>
      </c>
    </row>
    <row r="36" spans="1:15" x14ac:dyDescent="0.25">
      <c r="A36" t="s">
        <v>367</v>
      </c>
      <c r="B36" t="s">
        <v>9</v>
      </c>
      <c r="C36" s="18"/>
      <c r="D36" s="292">
        <f>-D30</f>
        <v>237</v>
      </c>
      <c r="E36" s="292">
        <f>-E30</f>
        <v>287</v>
      </c>
      <c r="F36" s="292">
        <f>-F30</f>
        <v>306</v>
      </c>
      <c r="G36" s="292">
        <f>-G30</f>
        <v>317.40000000000003</v>
      </c>
      <c r="H36" s="292">
        <f t="shared" ref="H36:N36" si="11">-H30</f>
        <v>301.53000000000003</v>
      </c>
      <c r="I36" s="292">
        <f t="shared" si="11"/>
        <v>286.45350000000002</v>
      </c>
      <c r="J36" s="292">
        <f t="shared" si="11"/>
        <v>272.13082500000007</v>
      </c>
      <c r="K36" s="292">
        <f t="shared" si="11"/>
        <v>258.52428375000005</v>
      </c>
      <c r="L36" s="292">
        <f t="shared" si="11"/>
        <v>245.59806956250006</v>
      </c>
      <c r="M36" s="292">
        <f t="shared" si="11"/>
        <v>233.31816608437504</v>
      </c>
      <c r="N36" s="292">
        <f t="shared" si="11"/>
        <v>221.6522577801563</v>
      </c>
    </row>
    <row r="37" spans="1:15" ht="30" x14ac:dyDescent="0.25">
      <c r="A37" s="3" t="s">
        <v>368</v>
      </c>
      <c r="B37" t="s">
        <v>9</v>
      </c>
      <c r="C37" s="29">
        <v>437</v>
      </c>
      <c r="D37" s="325">
        <f>SUM(D34:D36)</f>
        <v>526</v>
      </c>
      <c r="E37" s="29">
        <v>863</v>
      </c>
      <c r="F37" s="325">
        <f>SUM(F34:F36)</f>
        <v>1597</v>
      </c>
      <c r="G37" s="325">
        <f>SUM(G34:G36)</f>
        <v>2838.1476263269637</v>
      </c>
      <c r="H37" s="325">
        <f t="shared" ref="H37:N37" si="12">SUM(H34:H36)</f>
        <v>4122.4037796161083</v>
      </c>
      <c r="I37" s="325">
        <f t="shared" si="12"/>
        <v>5286.473672633786</v>
      </c>
      <c r="J37" s="325">
        <f t="shared" si="12"/>
        <v>6369.0035593033981</v>
      </c>
      <c r="K37" s="325">
        <f t="shared" si="12"/>
        <v>7359.1977890453609</v>
      </c>
      <c r="L37" s="325">
        <f t="shared" si="12"/>
        <v>8244.513953323336</v>
      </c>
      <c r="M37" s="325">
        <f t="shared" si="12"/>
        <v>9047.8973128900689</v>
      </c>
      <c r="N37" s="325">
        <f t="shared" si="12"/>
        <v>9782.1130692337047</v>
      </c>
      <c r="O37" s="128" t="s">
        <v>369</v>
      </c>
    </row>
    <row r="38" spans="1:15" x14ac:dyDescent="0.25">
      <c r="G38" s="70"/>
      <c r="H38" s="70"/>
      <c r="I38" s="70"/>
      <c r="J38" s="70"/>
      <c r="K38" s="70"/>
      <c r="L38" s="70"/>
      <c r="M38" s="70"/>
      <c r="N38" s="70"/>
    </row>
    <row r="39" spans="1:15" x14ac:dyDescent="0.25">
      <c r="G39" s="70"/>
      <c r="H39" s="70"/>
      <c r="I39" s="70"/>
      <c r="J39" s="70"/>
      <c r="K39" s="70"/>
      <c r="L39" s="70"/>
      <c r="M39" s="70"/>
      <c r="N39" s="70"/>
    </row>
    <row r="40" spans="1:15" x14ac:dyDescent="0.25">
      <c r="A40" s="8" t="s">
        <v>372</v>
      </c>
      <c r="G40" s="70"/>
      <c r="H40" s="70"/>
      <c r="I40" s="70"/>
      <c r="J40" s="70"/>
      <c r="K40" s="70"/>
      <c r="L40" s="70"/>
      <c r="M40" s="70"/>
      <c r="N40" s="70"/>
    </row>
    <row r="41" spans="1:15" x14ac:dyDescent="0.25">
      <c r="A41" s="80" t="s">
        <v>732</v>
      </c>
      <c r="B41" s="80" t="s">
        <v>9</v>
      </c>
      <c r="C41" s="190">
        <f>IS!D6</f>
        <v>7079</v>
      </c>
      <c r="D41" s="190">
        <f>IS!E6</f>
        <v>12114</v>
      </c>
      <c r="E41" s="190">
        <f>IS!F6</f>
        <v>20243</v>
      </c>
      <c r="F41" s="190">
        <f>IS!G6</f>
        <v>54364</v>
      </c>
      <c r="G41" s="190">
        <f>IS!H6</f>
        <v>130546.60204</v>
      </c>
      <c r="H41" s="190">
        <f>IS!I6</f>
        <v>181469.48782399998</v>
      </c>
      <c r="I41" s="190">
        <f>IS!J6</f>
        <v>246454.50294327998</v>
      </c>
      <c r="J41" s="190">
        <f>IS!K6</f>
        <v>321890.26672094397</v>
      </c>
      <c r="K41" s="190">
        <f>IS!L6</f>
        <v>406825.36460368003</v>
      </c>
      <c r="L41" s="190">
        <f>IS!M6</f>
        <v>501959.06929659995</v>
      </c>
      <c r="M41" s="190">
        <f>IS!N6</f>
        <v>608647.48749380012</v>
      </c>
      <c r="N41" s="190">
        <f>IS!O6</f>
        <v>707913.6048823701</v>
      </c>
      <c r="O41" s="97"/>
    </row>
    <row r="42" spans="1:15" x14ac:dyDescent="0.25">
      <c r="A42" s="80" t="s">
        <v>782</v>
      </c>
      <c r="B42" s="80" t="s">
        <v>13</v>
      </c>
      <c r="C42" s="189">
        <f>IFERROR((C9+C24)/IS!D6,"")</f>
        <v>9.0832038423506151E-2</v>
      </c>
      <c r="D42" s="189">
        <f>IFERROR((D9+D24)/IS!E6,"")</f>
        <v>8.2136371140828793E-2</v>
      </c>
      <c r="E42" s="189">
        <f>IFERROR((E9+E24)/IS!F6,"")</f>
        <v>0.14493899125623672</v>
      </c>
      <c r="F42" s="189">
        <f>IFERROR((F9+F24)/IS!G6,"")</f>
        <v>0.11888382017511588</v>
      </c>
      <c r="G42" s="189">
        <f>IFERROR((G9+G24)/IS!H6,"")</f>
        <v>8.5021048447087064E-2</v>
      </c>
      <c r="H42" s="189">
        <f>IFERROR((H9+H24)/IS!I6,"")</f>
        <v>8.4349478558614355E-2</v>
      </c>
      <c r="I42" s="189">
        <f>IFERROR((I9+I24)/IS!J6,"")</f>
        <v>7.8008683703915463E-2</v>
      </c>
      <c r="J42" s="189">
        <f>IFERROR((J9+J24)/IS!K6,"")</f>
        <v>7.1298966655322552E-2</v>
      </c>
      <c r="K42" s="189">
        <f>IFERROR((K9+K24)/IS!L6,"")</f>
        <v>6.4624659982212576E-2</v>
      </c>
      <c r="L42" s="189">
        <f>IFERROR((L9+L24)/IS!M6,"")</f>
        <v>5.8440507230071763E-2</v>
      </c>
      <c r="M42" s="189">
        <f>IFERROR((M9+M24)/IS!N6,"")</f>
        <v>5.2794006033729558E-2</v>
      </c>
      <c r="N42" s="189">
        <f>IFERROR((N9+N24)/IS!O6,"")</f>
        <v>4.9026931715525898E-2</v>
      </c>
      <c r="O42" s="97"/>
    </row>
    <row r="43" spans="1:15" x14ac:dyDescent="0.25">
      <c r="A43" t="s">
        <v>783</v>
      </c>
      <c r="B43" t="s">
        <v>13</v>
      </c>
      <c r="C43" s="189" t="str">
        <f>IF(C16="","",C16/IS!D6)</f>
        <v/>
      </c>
      <c r="D43" s="189">
        <f>IFERROR(D16/IS!E6,"")</f>
        <v>1.6674921578339112E-2</v>
      </c>
      <c r="E43" s="189">
        <f>IFERROR(E16/IS!F6,"")</f>
        <v>4.5991206836931288E-2</v>
      </c>
      <c r="F43" s="189">
        <f>IFERROR(F16/IS!G6,"")</f>
        <v>3.2116842027812523E-2</v>
      </c>
      <c r="G43" s="189">
        <f>IFERROR(G16/IS!H6,"")</f>
        <v>2.4512319355654368E-2</v>
      </c>
      <c r="H43" s="189">
        <f>IFERROR(H16/IS!I6,"")</f>
        <v>1.9286988914602055E-2</v>
      </c>
      <c r="I43" s="189">
        <f>IFERROR(I16/IS!J6,"")</f>
        <v>1.5418667358958936E-2</v>
      </c>
      <c r="J43" s="189">
        <f>IFERROR(J16/IS!K6,"")</f>
        <v>1.2737259941924274E-2</v>
      </c>
      <c r="K43" s="189">
        <f>IFERROR(K16/IS!L6,"")</f>
        <v>1.050819435549356E-2</v>
      </c>
      <c r="L43" s="189">
        <f>IFERROR(L16/IS!M6,"")</f>
        <v>8.865264664379563E-3</v>
      </c>
      <c r="M43" s="189">
        <f>IFERROR(M16/IS!N6,"")</f>
        <v>7.5988155624270312E-3</v>
      </c>
      <c r="N43" s="189">
        <f>IFERROR(N16/IS!O6,"")</f>
        <v>6.780488419625144E-3</v>
      </c>
    </row>
    <row r="44" spans="1:15" x14ac:dyDescent="0.25">
      <c r="A44" t="s">
        <v>55</v>
      </c>
      <c r="B44" t="s">
        <v>9</v>
      </c>
      <c r="C44" s="36"/>
      <c r="D44" s="47" t="str">
        <f>IFERROR(D16/(Assumptions!E16-Assumptions!D16),"")</f>
        <v/>
      </c>
      <c r="E44" s="47">
        <f>IFERROR(E16/(Assumptions!F16-Assumptions!E16),"")</f>
        <v>0.71560338201383555</v>
      </c>
      <c r="F44" s="47">
        <f>F16/(Assumptions!G16-Assumptions!F16)</f>
        <v>1.8535031847133758</v>
      </c>
      <c r="G44" s="47">
        <f>IFERROR(G16/Assumptions!H18,"")</f>
        <v>2.9090909090909092</v>
      </c>
      <c r="H44" s="47">
        <f>IFERROR(H16/Assumptions!I18,"")</f>
        <v>2.9166666666666665</v>
      </c>
      <c r="I44" s="47">
        <f>IFERROR(I16/Assumptions!J18,"")</f>
        <v>2.9230769230769229</v>
      </c>
      <c r="J44" s="47">
        <f>IFERROR(J16/Assumptions!K18,"")</f>
        <v>2.9285714285714284</v>
      </c>
      <c r="K44" s="47">
        <f>IFERROR(K16/Assumptions!L18,"")</f>
        <v>2.9482758620689653</v>
      </c>
      <c r="L44" s="47">
        <f>IFERROR(L16/Assumptions!M18,"")</f>
        <v>2.9666666666666668</v>
      </c>
      <c r="M44" s="47">
        <f>IFERROR(M16/Assumptions!N18,"")</f>
        <v>2.9838709677419355</v>
      </c>
      <c r="N44" s="47">
        <f>IFERROR(N16/Assumptions!O18,"")</f>
        <v>3</v>
      </c>
    </row>
    <row r="45" spans="1:15" x14ac:dyDescent="0.25">
      <c r="A45" t="s">
        <v>784</v>
      </c>
      <c r="B45" t="s">
        <v>13</v>
      </c>
      <c r="C45" s="189">
        <f>IFERROR(C37/IS!D6,"")</f>
        <v>6.1731883034326883E-2</v>
      </c>
      <c r="D45" s="189">
        <f>IFERROR(D37/IS!E6,"")</f>
        <v>4.342083539706125E-2</v>
      </c>
      <c r="E45" s="189">
        <f>IFERROR(E37/IS!F6,"")</f>
        <v>4.2632020945512029E-2</v>
      </c>
      <c r="F45" s="189">
        <f>IFERROR(F37/IS!G6,"")</f>
        <v>2.9376057685232874E-2</v>
      </c>
      <c r="G45" s="189">
        <f>IFERROR(G37/IS!H6,"")</f>
        <v>2.1740494060943416E-2</v>
      </c>
      <c r="H45" s="189">
        <f>IFERROR(H37/IS!I6,"")</f>
        <v>2.2716787428276996E-2</v>
      </c>
      <c r="I45" s="189">
        <f>IFERROR(I37/IS!J6,"")</f>
        <v>2.1450099752693245E-2</v>
      </c>
      <c r="J45" s="189">
        <f>IFERROR(J37/IS!K6,"")</f>
        <v>1.9786257050216659E-2</v>
      </c>
      <c r="K45" s="189">
        <f>IFERROR(K37/IS!L6,"")</f>
        <v>1.8089328811182959E-2</v>
      </c>
      <c r="L45" s="189">
        <f>IFERROR(L37/IS!M6,"")</f>
        <v>1.6424673758512726E-2</v>
      </c>
      <c r="M45" s="189">
        <f>IFERROR(M37/IS!N6,"")</f>
        <v>1.4865579007228274E-2</v>
      </c>
      <c r="N45" s="189">
        <f>IFERROR(N37/IS!O6,"")</f>
        <v>1.3818230080292272E-2</v>
      </c>
    </row>
    <row r="46" spans="1:15" x14ac:dyDescent="0.25">
      <c r="A46" t="s">
        <v>785</v>
      </c>
      <c r="B46" t="s">
        <v>217</v>
      </c>
      <c r="C46" s="338">
        <f>IFERROR(IS!D6/(C9+C24),"")</f>
        <v>11.009331259720062</v>
      </c>
      <c r="D46" s="338">
        <f>IFERROR(IS!E6/(D9+D24),"")</f>
        <v>12.174874371859296</v>
      </c>
      <c r="E46" s="338">
        <f>IFERROR(IS!F6/(E9+E24),"")</f>
        <v>6.8994546693933199</v>
      </c>
      <c r="F46" s="338">
        <f>IFERROR(IS!G6/(F9+F24),"")</f>
        <v>8.4115735726442828</v>
      </c>
      <c r="G46" s="338">
        <f>IFERROR(IS!H6/(G9+G24),"")</f>
        <v>11.761793323712668</v>
      </c>
      <c r="H46" s="338">
        <f>IFERROR(IS!I6/(H9+H24),"")</f>
        <v>11.855437841327035</v>
      </c>
      <c r="I46" s="338">
        <f>IFERROR(IS!J6/(I9+I24),"")</f>
        <v>12.819085677634725</v>
      </c>
      <c r="J46" s="338">
        <f>IFERROR(IS!K6/(J9+J24),"")</f>
        <v>14.025448711399363</v>
      </c>
      <c r="K46" s="338">
        <f>IFERROR(IS!L6/(K9+K24),"")</f>
        <v>15.473969229010134</v>
      </c>
      <c r="L46" s="338">
        <f>IFERROR(IS!M6/(L9+L24),"")</f>
        <v>17.111418900988415</v>
      </c>
      <c r="M46" s="338">
        <f>IFERROR(IS!N6/(M9+M24),"")</f>
        <v>18.941544223052709</v>
      </c>
      <c r="N46" s="338">
        <f>IFERROR(IS!O6/(N9+N24),"")</f>
        <v>20.39695255257671</v>
      </c>
    </row>
    <row r="47" spans="1:15" x14ac:dyDescent="0.25">
      <c r="A47" t="s">
        <v>373</v>
      </c>
      <c r="B47" t="s">
        <v>13</v>
      </c>
      <c r="C47" s="60">
        <f t="shared" ref="C47:N47" si="13">IFERROR(C24/(C9+C24),"")</f>
        <v>0.66407465007776045</v>
      </c>
      <c r="D47" s="60">
        <f t="shared" si="13"/>
        <v>0.69346733668341709</v>
      </c>
      <c r="E47" s="60">
        <f t="shared" si="13"/>
        <v>0.65371506475800956</v>
      </c>
      <c r="F47" s="60">
        <f t="shared" si="13"/>
        <v>0.66439733869719941</v>
      </c>
      <c r="G47" s="60">
        <f t="shared" si="13"/>
        <v>0.61814395882462603</v>
      </c>
      <c r="H47" s="60">
        <f t="shared" si="13"/>
        <v>0.61182036735401479</v>
      </c>
      <c r="I47" s="60">
        <f t="shared" si="13"/>
        <v>0.61565463143629795</v>
      </c>
      <c r="J47" s="60">
        <f t="shared" si="13"/>
        <v>0.62277474332323046</v>
      </c>
      <c r="K47" s="60">
        <f t="shared" si="13"/>
        <v>0.63128032600460537</v>
      </c>
      <c r="L47" s="60">
        <f t="shared" si="13"/>
        <v>0.63973457280784141</v>
      </c>
      <c r="M47" s="60">
        <f t="shared" si="13"/>
        <v>0.64743170670237471</v>
      </c>
      <c r="N47" s="60">
        <f t="shared" si="13"/>
        <v>0.65394885750191734</v>
      </c>
    </row>
    <row r="48" spans="1:15" x14ac:dyDescent="0.25">
      <c r="A48" t="s">
        <v>786</v>
      </c>
      <c r="B48" t="s">
        <v>217</v>
      </c>
      <c r="C48" s="338">
        <f>IFERROR(IS!D57/C37,"")</f>
        <v>-1.791762013729977</v>
      </c>
      <c r="D48" s="338">
        <f>IFERROR(IS!E57/D37,"")</f>
        <v>7.9847908745247151E-2</v>
      </c>
      <c r="E48" s="338">
        <f>IFERROR(IS!F57/E37,"")</f>
        <v>0.73812282734646584</v>
      </c>
      <c r="F48" s="338">
        <f>IFERROR(IS!G57/F37,"")</f>
        <v>0.75641828428303071</v>
      </c>
      <c r="G48" s="338">
        <f>IFERROR(IS!H57/G37,"")</f>
        <v>1.0818599538367604</v>
      </c>
      <c r="H48" s="338">
        <f>IFERROR(IS!I57/H37,"")</f>
        <v>1.6005164929803228</v>
      </c>
      <c r="I48" s="338">
        <f>IFERROR(IS!J57/I37,"")</f>
        <v>2.3651945563876384</v>
      </c>
      <c r="J48" s="338">
        <f>IFERROR(IS!K57/J37,"")</f>
        <v>3.1939713547632129</v>
      </c>
      <c r="K48" s="338">
        <f>IFERROR(IS!L57/K37,"")</f>
        <v>4.032251219578832</v>
      </c>
      <c r="L48" s="338">
        <f>IFERROR(IS!M57/L37,"")</f>
        <v>4.7467896368620766</v>
      </c>
      <c r="M48" s="338">
        <f>IFERROR(IS!N57/M37,"")</f>
        <v>5.5805856260941278</v>
      </c>
      <c r="N48" s="338">
        <f>IFERROR(IS!O57/N37,"")</f>
        <v>6.4061998942614498</v>
      </c>
    </row>
    <row r="49" spans="1:14" x14ac:dyDescent="0.25">
      <c r="A49" t="s">
        <v>374</v>
      </c>
      <c r="B49" t="s">
        <v>217</v>
      </c>
      <c r="C49" s="180"/>
      <c r="D49" s="339">
        <f t="shared" ref="D49:N49" si="14">D16/D37</f>
        <v>0.38403041825095058</v>
      </c>
      <c r="E49" s="339">
        <f t="shared" si="14"/>
        <v>1.0787949015063731</v>
      </c>
      <c r="F49" s="339">
        <f t="shared" si="14"/>
        <v>1.0932999373825925</v>
      </c>
      <c r="G49" s="339">
        <f t="shared" si="14"/>
        <v>1.1274959661423016</v>
      </c>
      <c r="H49" s="339">
        <f t="shared" si="14"/>
        <v>0.84901920993433866</v>
      </c>
      <c r="I49" s="339">
        <f t="shared" si="14"/>
        <v>0.71881564825930433</v>
      </c>
      <c r="J49" s="339">
        <f t="shared" si="14"/>
        <v>0.64374277103535371</v>
      </c>
      <c r="K49" s="339">
        <f t="shared" si="14"/>
        <v>0.58090570773401584</v>
      </c>
      <c r="L49" s="339">
        <f t="shared" si="14"/>
        <v>0.53975286174465387</v>
      </c>
      <c r="M49" s="339">
        <f t="shared" si="14"/>
        <v>0.51116848921472646</v>
      </c>
      <c r="N49" s="339">
        <f t="shared" si="14"/>
        <v>0.49069152707882313</v>
      </c>
    </row>
    <row r="51" spans="1:14" x14ac:dyDescent="0.25">
      <c r="A51" s="8" t="s">
        <v>375</v>
      </c>
    </row>
    <row r="52" spans="1:14" x14ac:dyDescent="0.25">
      <c r="A52" t="s">
        <v>787</v>
      </c>
    </row>
    <row r="53" spans="1:14" x14ac:dyDescent="0.25">
      <c r="A53" t="s">
        <v>376</v>
      </c>
    </row>
    <row r="54" spans="1:14" x14ac:dyDescent="0.25">
      <c r="A54" t="s">
        <v>377</v>
      </c>
    </row>
    <row r="55" spans="1:14" x14ac:dyDescent="0.25">
      <c r="A55" t="str">
        <f>"4. Watch fixed asset turns: dark stores must lift throughput from "&amp;TEXT('Revenue Schedule'!F66,"#,##0")&amp;"k NOV/store/day (FY26A) to justify the capex."</f>
        <v>4. Watch fixed asset turns: dark stores must lift throughput from 756k NOV/store/day (FY26A) to justify the capex.</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6260-424B-4479-998F-31943CF8EC8D}">
  <dimension ref="A1:Q42"/>
  <sheetViews>
    <sheetView topLeftCell="A13" zoomScale="50" zoomScaleNormal="50" workbookViewId="0">
      <selection activeCell="P35" sqref="P35"/>
    </sheetView>
  </sheetViews>
  <sheetFormatPr defaultRowHeight="15" x14ac:dyDescent="0.25"/>
  <cols>
    <col min="1" max="1" width="54.5703125" customWidth="1"/>
    <col min="2" max="5" width="10.85546875" customWidth="1"/>
    <col min="6" max="15" width="14.140625" customWidth="1"/>
    <col min="16" max="16" width="72.7109375" style="24" customWidth="1"/>
    <col min="17" max="17" width="47.28515625" customWidth="1"/>
  </cols>
  <sheetData>
    <row r="1" spans="1:17" ht="18.75" x14ac:dyDescent="0.3">
      <c r="A1" s="5" t="s">
        <v>954</v>
      </c>
      <c r="Q1" s="137" t="str">
        <f>Data_Sources!$D$28&amp;" | "&amp;Data_Sources!$E$28&amp;" | "&amp;Data_Sources!$F$28</f>
        <v>Eternal Q4FY26 consolidated statement of cash flows | Adjustments to reconcile profit before tax | https://b.zmtcdn.com/investor-relations/Eternal_Shareholders_Letter_Q4FY26_Results.pdf</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8" t="s">
        <v>955</v>
      </c>
      <c r="H4" s="70"/>
      <c r="I4" s="70"/>
      <c r="J4" s="70"/>
      <c r="K4" s="70"/>
      <c r="L4" s="70"/>
      <c r="M4" s="70"/>
      <c r="N4" s="70"/>
      <c r="O4" s="70"/>
    </row>
    <row r="5" spans="1:17" x14ac:dyDescent="0.25">
      <c r="A5" t="s">
        <v>378</v>
      </c>
      <c r="B5" t="s">
        <v>9</v>
      </c>
      <c r="D5" s="18"/>
      <c r="E5" s="59">
        <f>(BS!D23+BS!D27)</f>
        <v>466</v>
      </c>
      <c r="F5" s="59">
        <f>(BS!E23+BS!E27)</f>
        <v>749</v>
      </c>
      <c r="G5" s="59">
        <f>(BS!F23+BS!F27)</f>
        <v>2045</v>
      </c>
      <c r="H5" s="292">
        <f>G12</f>
        <v>4592</v>
      </c>
      <c r="I5" s="292">
        <f t="shared" ref="I5:O5" si="0">H12</f>
        <v>7657.4738543113654</v>
      </c>
      <c r="J5" s="292">
        <f t="shared" si="0"/>
        <v>10956.304213787949</v>
      </c>
      <c r="K5" s="292">
        <f t="shared" si="0"/>
        <v>14414.340821408634</v>
      </c>
      <c r="L5" s="292">
        <f t="shared" si="0"/>
        <v>17930.499933661788</v>
      </c>
      <c r="M5" s="292">
        <f t="shared" si="0"/>
        <v>21222.539799220896</v>
      </c>
      <c r="N5" s="292">
        <f t="shared" si="0"/>
        <v>24121.346437345655</v>
      </c>
      <c r="O5" s="292">
        <f t="shared" si="0"/>
        <v>26414.027860574453</v>
      </c>
    </row>
    <row r="6" spans="1:17" x14ac:dyDescent="0.25">
      <c r="A6" t="s">
        <v>379</v>
      </c>
      <c r="B6" t="s">
        <v>9</v>
      </c>
      <c r="D6" s="18"/>
      <c r="E6" s="292">
        <f>N(E21)</f>
        <v>0</v>
      </c>
      <c r="F6" s="292">
        <f>F21</f>
        <v>147</v>
      </c>
      <c r="G6" s="292">
        <f t="shared" ref="G6" si="1">G21</f>
        <v>367</v>
      </c>
      <c r="H6" s="59">
        <f>H5*Assumptions!$B$121</f>
        <v>495.51725133896662</v>
      </c>
      <c r="I6" s="59">
        <f>I5*Assumptions!$B$121</f>
        <v>826.30888425269382</v>
      </c>
      <c r="J6" s="59">
        <f>J5*Assumptions!$B$121</f>
        <v>1182.2817397320866</v>
      </c>
      <c r="K6" s="59">
        <f>K5*Assumptions!$B$121</f>
        <v>1555.4343518483163</v>
      </c>
      <c r="L6" s="59">
        <f>L5*Assumptions!$B$121</f>
        <v>1934.8588942207343</v>
      </c>
      <c r="M6" s="59">
        <f>M5*Assumptions!$B$121</f>
        <v>2290.0989955883629</v>
      </c>
      <c r="N6" s="59">
        <f>N5*Assumptions!$B$121</f>
        <v>2602.9057676891321</v>
      </c>
      <c r="O6" s="59">
        <f>O5*Assumptions!$B$121</f>
        <v>2850.3062896913625</v>
      </c>
    </row>
    <row r="7" spans="1:17" x14ac:dyDescent="0.25">
      <c r="A7" t="s">
        <v>380</v>
      </c>
      <c r="B7" t="s">
        <v>9</v>
      </c>
      <c r="D7" s="18"/>
      <c r="E7" s="59">
        <f>FA_Schedule!D20</f>
        <v>439</v>
      </c>
      <c r="F7" s="59">
        <f>FA_Schedule!E20</f>
        <v>1584</v>
      </c>
      <c r="G7" s="59">
        <f>FA_Schedule!F20</f>
        <v>3074</v>
      </c>
      <c r="H7" s="59">
        <f>FA_Schedule!G20</f>
        <v>3589.5966029723991</v>
      </c>
      <c r="I7" s="59">
        <f>FA_Schedule!H20</f>
        <v>3915.9235668789806</v>
      </c>
      <c r="J7" s="59">
        <f>FA_Schedule!I20</f>
        <v>4242.2505307855627</v>
      </c>
      <c r="K7" s="59">
        <f>FA_Schedule!J20</f>
        <v>4568.5774946921447</v>
      </c>
      <c r="L7" s="59">
        <f>FA_Schedule!K20</f>
        <v>4731.7409766454348</v>
      </c>
      <c r="M7" s="59">
        <f>FA_Schedule!L20</f>
        <v>4894.9044585987258</v>
      </c>
      <c r="N7" s="59">
        <f>FA_Schedule!M20</f>
        <v>5058.0679405520168</v>
      </c>
      <c r="O7" s="59">
        <f>FA_Schedule!N20</f>
        <v>5221.2314225053078</v>
      </c>
    </row>
    <row r="8" spans="1:17" x14ac:dyDescent="0.25">
      <c r="A8" t="s">
        <v>356</v>
      </c>
      <c r="B8" t="s">
        <v>9</v>
      </c>
      <c r="D8" s="18"/>
      <c r="E8" s="18"/>
      <c r="F8" s="18"/>
      <c r="G8" s="18"/>
      <c r="H8" s="59">
        <f>H5*Assumptions!$B$126</f>
        <v>459.20000000000005</v>
      </c>
      <c r="I8" s="59">
        <f>I5*Assumptions!$B$126</f>
        <v>765.74738543113654</v>
      </c>
      <c r="J8" s="59">
        <f>J5*Assumptions!$B$126</f>
        <v>1095.6304213787951</v>
      </c>
      <c r="K8" s="59">
        <f>K5*Assumptions!$B$126</f>
        <v>1441.4340821408634</v>
      </c>
      <c r="L8" s="59">
        <f>L5*Assumptions!$B$126</f>
        <v>1793.0499933661788</v>
      </c>
      <c r="M8" s="59">
        <f>M5*Assumptions!$B$126</f>
        <v>2122.2539799220899</v>
      </c>
      <c r="N8" s="59">
        <f>N5*Assumptions!$B$126</f>
        <v>2412.1346437345655</v>
      </c>
      <c r="O8" s="59">
        <f>O5*Assumptions!$B$126</f>
        <v>2641.4027860574456</v>
      </c>
      <c r="P8" s="26"/>
    </row>
    <row r="9" spans="1:17" ht="45" x14ac:dyDescent="0.25">
      <c r="A9" t="s">
        <v>381</v>
      </c>
      <c r="B9" t="s">
        <v>9</v>
      </c>
      <c r="D9" s="18"/>
      <c r="E9" s="254">
        <v>-185</v>
      </c>
      <c r="F9" s="254">
        <v>-356</v>
      </c>
      <c r="G9" s="254">
        <v>-838</v>
      </c>
      <c r="H9" s="59">
        <f>-Assumptions!H86</f>
        <v>-1387</v>
      </c>
      <c r="I9" s="59">
        <f>-Assumptions!I86</f>
        <v>-2056</v>
      </c>
      <c r="J9" s="59">
        <f>-Assumptions!J86</f>
        <v>-2843</v>
      </c>
      <c r="K9" s="59">
        <f>-Assumptions!K86</f>
        <v>-3761</v>
      </c>
      <c r="L9" s="59">
        <f>-Assumptions!L86</f>
        <v>-4809</v>
      </c>
      <c r="M9" s="59">
        <f>-Assumptions!M86</f>
        <v>-5984</v>
      </c>
      <c r="N9" s="59">
        <f>-Assumptions!N86</f>
        <v>-7298</v>
      </c>
      <c r="O9" s="59">
        <f>-Assumptions!O86</f>
        <v>-8764</v>
      </c>
      <c r="P9" s="128" t="s">
        <v>1617</v>
      </c>
    </row>
    <row r="10" spans="1:17" x14ac:dyDescent="0.25">
      <c r="A10" t="s">
        <v>358</v>
      </c>
      <c r="B10" t="s">
        <v>9</v>
      </c>
      <c r="D10" s="18"/>
      <c r="E10" s="18"/>
      <c r="F10" s="18"/>
      <c r="G10" s="18"/>
      <c r="H10" s="59">
        <f>-H5*Assumptions!$B$127</f>
        <v>-91.84</v>
      </c>
      <c r="I10" s="59">
        <f>-I5*Assumptions!$B$127</f>
        <v>-153.14947708622731</v>
      </c>
      <c r="J10" s="59">
        <f>-J5*Assumptions!$B$127</f>
        <v>-219.12608427575898</v>
      </c>
      <c r="K10" s="59">
        <f>-K5*Assumptions!$B$127</f>
        <v>-288.2868164281727</v>
      </c>
      <c r="L10" s="59">
        <f>-L5*Assumptions!$B$127</f>
        <v>-358.60999867323574</v>
      </c>
      <c r="M10" s="59">
        <f>-M5*Assumptions!$B$127</f>
        <v>-424.45079598441794</v>
      </c>
      <c r="N10" s="59">
        <f>-N5*Assumptions!$B$127</f>
        <v>-482.42692874691312</v>
      </c>
      <c r="O10" s="59">
        <f>-O5*Assumptions!$B$127</f>
        <v>-528.28055721148905</v>
      </c>
    </row>
    <row r="11" spans="1:17" ht="20.100000000000001" customHeight="1" x14ac:dyDescent="0.25">
      <c r="A11" t="s">
        <v>382</v>
      </c>
      <c r="B11" t="s">
        <v>9</v>
      </c>
      <c r="D11" s="18"/>
      <c r="E11" s="292">
        <f>E12-E5-E6-E7-E9</f>
        <v>29</v>
      </c>
      <c r="F11" s="292">
        <f>F12-F5-F6-F7-F9</f>
        <v>-79</v>
      </c>
      <c r="G11" s="292">
        <f>G12-G5-G6-G7-G9</f>
        <v>-56</v>
      </c>
      <c r="H11" s="59">
        <f>Assumptions!H96</f>
        <v>0</v>
      </c>
      <c r="I11" s="59">
        <f>Assumptions!I96</f>
        <v>0</v>
      </c>
      <c r="J11" s="59">
        <f>Assumptions!J96</f>
        <v>0</v>
      </c>
      <c r="K11" s="59">
        <f>Assumptions!K96</f>
        <v>0</v>
      </c>
      <c r="L11" s="59">
        <f>Assumptions!L96</f>
        <v>0</v>
      </c>
      <c r="M11" s="59">
        <f>Assumptions!M96</f>
        <v>0</v>
      </c>
      <c r="N11" s="59">
        <f>Assumptions!N96</f>
        <v>0</v>
      </c>
      <c r="O11" s="59">
        <f>Assumptions!O96</f>
        <v>0</v>
      </c>
      <c r="P11" s="128" t="s">
        <v>952</v>
      </c>
    </row>
    <row r="12" spans="1:17" x14ac:dyDescent="0.25">
      <c r="A12" s="3" t="s">
        <v>383</v>
      </c>
      <c r="B12" t="s">
        <v>9</v>
      </c>
      <c r="D12" s="29">
        <v>466</v>
      </c>
      <c r="E12" s="29">
        <v>749</v>
      </c>
      <c r="F12" s="29">
        <v>2045</v>
      </c>
      <c r="G12" s="29">
        <v>4592</v>
      </c>
      <c r="H12" s="325">
        <f>H5+H6+H7+H8+H9+H10+H11</f>
        <v>7657.4738543113654</v>
      </c>
      <c r="I12" s="325">
        <f t="shared" ref="I12:O12" si="2">I5+I6+I7+I8+I9+I10+I11</f>
        <v>10956.304213787949</v>
      </c>
      <c r="J12" s="325">
        <f t="shared" si="2"/>
        <v>14414.340821408634</v>
      </c>
      <c r="K12" s="325">
        <f t="shared" si="2"/>
        <v>17930.499933661788</v>
      </c>
      <c r="L12" s="325">
        <f t="shared" si="2"/>
        <v>21222.539799220896</v>
      </c>
      <c r="M12" s="325">
        <f t="shared" si="2"/>
        <v>24121.346437345655</v>
      </c>
      <c r="N12" s="325">
        <f t="shared" si="2"/>
        <v>26414.027860574453</v>
      </c>
      <c r="O12" s="325">
        <f t="shared" si="2"/>
        <v>27834.687801617074</v>
      </c>
    </row>
    <row r="13" spans="1:17" x14ac:dyDescent="0.25">
      <c r="H13" s="70"/>
      <c r="I13" s="70"/>
      <c r="J13" s="70"/>
      <c r="K13" s="70"/>
      <c r="L13" s="70"/>
      <c r="M13" s="70"/>
      <c r="N13" s="70"/>
      <c r="O13" s="70"/>
    </row>
    <row r="14" spans="1:17" x14ac:dyDescent="0.25">
      <c r="A14" t="s">
        <v>384</v>
      </c>
      <c r="B14" t="s">
        <v>9</v>
      </c>
      <c r="D14" s="254">
        <v>351</v>
      </c>
      <c r="E14" s="254">
        <v>588</v>
      </c>
      <c r="F14" s="254">
        <v>1654</v>
      </c>
      <c r="G14" s="254">
        <v>3833</v>
      </c>
      <c r="H14" s="292">
        <f>H12*$G$15</f>
        <v>6391.7894781305449</v>
      </c>
      <c r="I14" s="292">
        <f t="shared" ref="I14:O14" si="3">I12*$G$15</f>
        <v>9145.3645582424233</v>
      </c>
      <c r="J14" s="292">
        <f t="shared" si="3"/>
        <v>12031.831090692354</v>
      </c>
      <c r="K14" s="292">
        <f t="shared" si="3"/>
        <v>14966.813206821784</v>
      </c>
      <c r="L14" s="292">
        <f t="shared" si="3"/>
        <v>17714.720176483817</v>
      </c>
      <c r="M14" s="292">
        <f t="shared" si="3"/>
        <v>20134.390438664173</v>
      </c>
      <c r="N14" s="292">
        <f t="shared" si="3"/>
        <v>22048.120381006505</v>
      </c>
      <c r="O14" s="292">
        <f t="shared" si="3"/>
        <v>23233.963053919477</v>
      </c>
    </row>
    <row r="15" spans="1:17" s="125" customFormat="1" x14ac:dyDescent="0.25">
      <c r="D15" s="296">
        <f>D14/D12</f>
        <v>0.75321888412017168</v>
      </c>
      <c r="E15" s="296">
        <f t="shared" ref="E15:G15" si="4">E14/E12</f>
        <v>0.78504672897196259</v>
      </c>
      <c r="F15" s="296">
        <f t="shared" si="4"/>
        <v>0.80880195599022009</v>
      </c>
      <c r="G15" s="296">
        <f t="shared" si="4"/>
        <v>0.83471254355400692</v>
      </c>
      <c r="H15" s="296">
        <f t="shared" ref="H15" si="5">H14/H12</f>
        <v>0.83471254355400692</v>
      </c>
      <c r="I15" s="296">
        <f t="shared" ref="I15" si="6">I14/I12</f>
        <v>0.83471254355400692</v>
      </c>
      <c r="J15" s="296">
        <f t="shared" ref="J15" si="7">J14/J12</f>
        <v>0.83471254355400692</v>
      </c>
      <c r="K15" s="296">
        <f t="shared" ref="K15" si="8">K14/K12</f>
        <v>0.83471254355400692</v>
      </c>
      <c r="L15" s="296">
        <f t="shared" ref="L15" si="9">L14/L12</f>
        <v>0.83471254355400692</v>
      </c>
      <c r="M15" s="296">
        <f t="shared" ref="M15" si="10">M14/M12</f>
        <v>0.83471254355400681</v>
      </c>
      <c r="N15" s="296">
        <f t="shared" ref="N15" si="11">N14/N12</f>
        <v>0.83471254355400692</v>
      </c>
      <c r="O15" s="296">
        <f t="shared" ref="O15" si="12">O14/O12</f>
        <v>0.83471254355400692</v>
      </c>
      <c r="P15" s="185"/>
    </row>
    <row r="16" spans="1:17" x14ac:dyDescent="0.25">
      <c r="D16" s="184"/>
      <c r="E16" s="184"/>
      <c r="F16" s="184"/>
      <c r="G16" s="184"/>
      <c r="H16" s="184"/>
      <c r="I16" s="184"/>
      <c r="J16" s="184"/>
      <c r="K16" s="184"/>
      <c r="L16" s="184"/>
      <c r="M16" s="184"/>
      <c r="N16" s="184"/>
      <c r="O16" s="184"/>
    </row>
    <row r="17" spans="1:16" x14ac:dyDescent="0.25">
      <c r="A17" t="s">
        <v>385</v>
      </c>
      <c r="B17" t="s">
        <v>9</v>
      </c>
      <c r="D17" s="254">
        <v>115</v>
      </c>
      <c r="E17" s="254">
        <v>161</v>
      </c>
      <c r="F17" s="254">
        <v>391</v>
      </c>
      <c r="G17" s="254">
        <v>759</v>
      </c>
      <c r="H17" s="292">
        <f>H12*$G$18</f>
        <v>1265.6843761808202</v>
      </c>
      <c r="I17" s="292">
        <f t="shared" ref="I17:O17" si="13">I12*$G$18</f>
        <v>1810.9396555455255</v>
      </c>
      <c r="J17" s="292">
        <f t="shared" si="13"/>
        <v>2382.5097307162787</v>
      </c>
      <c r="K17" s="292">
        <f t="shared" si="13"/>
        <v>2963.6867268400033</v>
      </c>
      <c r="L17" s="292">
        <f t="shared" si="13"/>
        <v>3507.8196227370772</v>
      </c>
      <c r="M17" s="292">
        <f t="shared" si="13"/>
        <v>3986.9559986814788</v>
      </c>
      <c r="N17" s="292">
        <f t="shared" si="13"/>
        <v>4365.9074795679462</v>
      </c>
      <c r="O17" s="292">
        <f t="shared" si="13"/>
        <v>4600.7247476975954</v>
      </c>
    </row>
    <row r="18" spans="1:16" s="125" customFormat="1" x14ac:dyDescent="0.25">
      <c r="D18" s="296">
        <f>D17/D12</f>
        <v>0.24678111587982832</v>
      </c>
      <c r="E18" s="296">
        <f t="shared" ref="E18:F18" si="14">E17/E12</f>
        <v>0.21495327102803738</v>
      </c>
      <c r="F18" s="296">
        <f t="shared" si="14"/>
        <v>0.19119804400977994</v>
      </c>
      <c r="G18" s="296">
        <f>G17/G12</f>
        <v>0.16528745644599302</v>
      </c>
      <c r="H18" s="296">
        <f t="shared" ref="H18" si="15">H17/H12</f>
        <v>0.16528745644599305</v>
      </c>
      <c r="I18" s="296">
        <f t="shared" ref="I18" si="16">I17/I12</f>
        <v>0.16528745644599302</v>
      </c>
      <c r="J18" s="296">
        <f t="shared" ref="J18" si="17">J17/J12</f>
        <v>0.16528745644599302</v>
      </c>
      <c r="K18" s="296">
        <f t="shared" ref="K18" si="18">K17/K12</f>
        <v>0.16528745644599302</v>
      </c>
      <c r="L18" s="296">
        <f t="shared" ref="L18" si="19">L17/L12</f>
        <v>0.16528745644599302</v>
      </c>
      <c r="M18" s="296">
        <f t="shared" ref="M18" si="20">M17/M12</f>
        <v>0.16528745644599302</v>
      </c>
      <c r="N18" s="296">
        <f t="shared" ref="N18" si="21">N17/N12</f>
        <v>0.16528745644599302</v>
      </c>
      <c r="O18" s="296">
        <f t="shared" ref="O18" si="22">O17/O12</f>
        <v>0.16528745644599302</v>
      </c>
      <c r="P18" s="185"/>
    </row>
    <row r="19" spans="1:16" x14ac:dyDescent="0.25">
      <c r="H19" s="182"/>
      <c r="I19" s="182"/>
      <c r="J19" s="70"/>
      <c r="K19" s="70"/>
      <c r="L19" s="70"/>
      <c r="M19" s="70"/>
      <c r="N19" s="70"/>
      <c r="O19" s="70"/>
    </row>
    <row r="20" spans="1:16" x14ac:dyDescent="0.25">
      <c r="A20" s="10" t="s">
        <v>956</v>
      </c>
      <c r="H20" s="70"/>
      <c r="I20" s="70"/>
      <c r="J20" s="70"/>
      <c r="K20" s="70"/>
      <c r="L20" s="70"/>
      <c r="M20" s="70"/>
      <c r="N20" s="70"/>
      <c r="O20" s="70"/>
    </row>
    <row r="21" spans="1:16" ht="30" x14ac:dyDescent="0.25">
      <c r="A21" t="s">
        <v>386</v>
      </c>
      <c r="B21" t="s">
        <v>9</v>
      </c>
      <c r="D21" s="18"/>
      <c r="E21" s="253" t="s">
        <v>1450</v>
      </c>
      <c r="F21" s="254">
        <v>147</v>
      </c>
      <c r="G21" s="254">
        <v>367</v>
      </c>
      <c r="H21" s="292">
        <f>H6</f>
        <v>495.51725133896662</v>
      </c>
      <c r="I21" s="292">
        <f t="shared" ref="I21:O21" si="23">I6</f>
        <v>826.30888425269382</v>
      </c>
      <c r="J21" s="292">
        <f t="shared" si="23"/>
        <v>1182.2817397320866</v>
      </c>
      <c r="K21" s="292">
        <f t="shared" si="23"/>
        <v>1555.4343518483163</v>
      </c>
      <c r="L21" s="292">
        <f t="shared" si="23"/>
        <v>1934.8588942207343</v>
      </c>
      <c r="M21" s="292">
        <f t="shared" si="23"/>
        <v>2290.0989955883629</v>
      </c>
      <c r="N21" s="292">
        <f t="shared" si="23"/>
        <v>2602.9057676891321</v>
      </c>
      <c r="O21" s="292">
        <f t="shared" si="23"/>
        <v>2850.3062896913625</v>
      </c>
      <c r="P21" s="128" t="s">
        <v>953</v>
      </c>
    </row>
    <row r="22" spans="1:16" x14ac:dyDescent="0.25">
      <c r="A22" t="s">
        <v>387</v>
      </c>
      <c r="B22" t="s">
        <v>9</v>
      </c>
      <c r="D22" s="18"/>
      <c r="E22" s="292">
        <f>-E9-N(E21)</f>
        <v>185</v>
      </c>
      <c r="F22" s="292">
        <f>-F9-F21</f>
        <v>209</v>
      </c>
      <c r="G22" s="292">
        <f>-G9-G21</f>
        <v>471</v>
      </c>
      <c r="H22" s="292">
        <f>-H9-H21</f>
        <v>891.48274866103338</v>
      </c>
      <c r="I22" s="292">
        <f t="shared" ref="I22:O22" si="24">-I9-I21</f>
        <v>1229.6911157473062</v>
      </c>
      <c r="J22" s="292">
        <f t="shared" si="24"/>
        <v>1660.7182602679134</v>
      </c>
      <c r="K22" s="292">
        <f t="shared" si="24"/>
        <v>2205.5656481516835</v>
      </c>
      <c r="L22" s="292">
        <f t="shared" si="24"/>
        <v>2874.1411057792657</v>
      </c>
      <c r="M22" s="292">
        <f t="shared" si="24"/>
        <v>3693.9010044116371</v>
      </c>
      <c r="N22" s="292">
        <f t="shared" si="24"/>
        <v>4695.0942323108684</v>
      </c>
      <c r="O22" s="292">
        <f t="shared" si="24"/>
        <v>5913.6937103086375</v>
      </c>
    </row>
    <row r="23" spans="1:16" x14ac:dyDescent="0.25">
      <c r="A23" t="s">
        <v>388</v>
      </c>
      <c r="B23" t="s">
        <v>9</v>
      </c>
      <c r="D23" s="18"/>
      <c r="E23" s="292">
        <f>-E9</f>
        <v>185</v>
      </c>
      <c r="F23" s="292">
        <f>-F9</f>
        <v>356</v>
      </c>
      <c r="G23" s="292">
        <f>-G9</f>
        <v>838</v>
      </c>
      <c r="H23" s="292">
        <f>-H9</f>
        <v>1387</v>
      </c>
      <c r="I23" s="292">
        <f t="shared" ref="I23:O23" si="25">-I9</f>
        <v>2056</v>
      </c>
      <c r="J23" s="292">
        <f t="shared" si="25"/>
        <v>2843</v>
      </c>
      <c r="K23" s="292">
        <f t="shared" si="25"/>
        <v>3761</v>
      </c>
      <c r="L23" s="292">
        <f t="shared" si="25"/>
        <v>4809</v>
      </c>
      <c r="M23" s="292">
        <f t="shared" si="25"/>
        <v>5984</v>
      </c>
      <c r="N23" s="292">
        <f t="shared" si="25"/>
        <v>7298</v>
      </c>
      <c r="O23" s="292">
        <f t="shared" si="25"/>
        <v>8764</v>
      </c>
    </row>
    <row r="24" spans="1:16" x14ac:dyDescent="0.25">
      <c r="A24" t="s">
        <v>389</v>
      </c>
      <c r="B24" t="s">
        <v>9</v>
      </c>
      <c r="D24" s="292">
        <f>IFERROR(D25-D21,"")</f>
        <v>49</v>
      </c>
      <c r="E24" s="292">
        <f>E25-N(E21)</f>
        <v>72</v>
      </c>
      <c r="F24" s="292">
        <f>IFERROR(F25-F21,"")</f>
        <v>7</v>
      </c>
      <c r="G24" s="292">
        <f>IFERROR(G25-G21,"")</f>
        <v>25</v>
      </c>
      <c r="H24" s="254">
        <v>0</v>
      </c>
      <c r="I24" s="254">
        <v>0</v>
      </c>
      <c r="J24" s="254">
        <v>0</v>
      </c>
      <c r="K24" s="254">
        <v>0</v>
      </c>
      <c r="L24" s="254">
        <v>0</v>
      </c>
      <c r="M24" s="254">
        <v>0</v>
      </c>
      <c r="N24" s="254">
        <v>0</v>
      </c>
      <c r="O24" s="254">
        <v>0</v>
      </c>
      <c r="P24" s="26"/>
    </row>
    <row r="25" spans="1:16" x14ac:dyDescent="0.25">
      <c r="A25" s="3" t="s">
        <v>390</v>
      </c>
      <c r="B25" t="s">
        <v>9</v>
      </c>
      <c r="D25" s="29">
        <v>49</v>
      </c>
      <c r="E25" s="29">
        <v>72</v>
      </c>
      <c r="F25" s="29">
        <v>154</v>
      </c>
      <c r="G25" s="29">
        <v>392</v>
      </c>
      <c r="H25" s="325">
        <f>H21+H24</f>
        <v>495.51725133896662</v>
      </c>
      <c r="I25" s="325">
        <f t="shared" ref="I25:O25" si="26">I21+I24</f>
        <v>826.30888425269382</v>
      </c>
      <c r="J25" s="325">
        <f t="shared" si="26"/>
        <v>1182.2817397320866</v>
      </c>
      <c r="K25" s="325">
        <f t="shared" si="26"/>
        <v>1555.4343518483163</v>
      </c>
      <c r="L25" s="325">
        <f t="shared" si="26"/>
        <v>1934.8588942207343</v>
      </c>
      <c r="M25" s="325">
        <f t="shared" si="26"/>
        <v>2290.0989955883629</v>
      </c>
      <c r="N25" s="325">
        <f t="shared" si="26"/>
        <v>2602.9057676891321</v>
      </c>
      <c r="O25" s="325">
        <f t="shared" si="26"/>
        <v>2850.3062896913625</v>
      </c>
      <c r="P25" s="26"/>
    </row>
    <row r="26" spans="1:16" x14ac:dyDescent="0.25">
      <c r="H26" s="70"/>
      <c r="I26" s="70"/>
      <c r="J26" s="70"/>
      <c r="K26" s="70"/>
      <c r="L26" s="70"/>
      <c r="M26" s="70"/>
      <c r="N26" s="70"/>
      <c r="O26" s="70"/>
    </row>
    <row r="27" spans="1:16" x14ac:dyDescent="0.25">
      <c r="H27" s="70"/>
      <c r="I27" s="70"/>
      <c r="J27" s="70"/>
      <c r="K27" s="70"/>
      <c r="L27" s="70"/>
      <c r="M27" s="70"/>
      <c r="N27" s="70"/>
      <c r="O27" s="70"/>
    </row>
    <row r="28" spans="1:16" x14ac:dyDescent="0.25">
      <c r="A28" s="8" t="s">
        <v>957</v>
      </c>
      <c r="H28" s="70"/>
      <c r="I28" s="70"/>
      <c r="J28" s="70"/>
      <c r="K28" s="70"/>
      <c r="L28" s="70"/>
      <c r="M28" s="70"/>
      <c r="N28" s="70"/>
      <c r="O28" s="70"/>
    </row>
    <row r="29" spans="1:16" x14ac:dyDescent="0.25">
      <c r="A29" t="s">
        <v>391</v>
      </c>
      <c r="B29" t="s">
        <v>13</v>
      </c>
      <c r="D29" s="16"/>
      <c r="E29" s="77">
        <f>E23/'Revenue Schedule'!D27</f>
        <v>1.3658176448874123E-2</v>
      </c>
      <c r="F29" s="77">
        <f>F23/'Revenue Schedule'!E27</f>
        <v>1.6483770894105663E-2</v>
      </c>
      <c r="G29" s="77">
        <f>G23/'Revenue Schedule'!F27</f>
        <v>1.4990250970430925E-2</v>
      </c>
      <c r="H29" s="77">
        <f>H23/'Revenue Schedule'!G27</f>
        <v>1.0394621391518987E-2</v>
      </c>
      <c r="I29" s="77">
        <f>I23/'Revenue Schedule'!H27</f>
        <v>1.1091216657212801E-2</v>
      </c>
      <c r="J29" s="77">
        <f>J23/'Revenue Schedule'!I27</f>
        <v>1.1298188958523083E-2</v>
      </c>
      <c r="K29" s="77">
        <f>K23/'Revenue Schedule'!J27</f>
        <v>1.1447442815847184E-2</v>
      </c>
      <c r="L29" s="77">
        <f>L23/'Revenue Schedule'!K27</f>
        <v>1.1584434071547293E-2</v>
      </c>
      <c r="M29" s="77">
        <f>M23/'Revenue Schedule'!L27</f>
        <v>1.1685300254665515E-2</v>
      </c>
      <c r="N29" s="77">
        <f>N23/'Revenue Schedule'!M27</f>
        <v>1.1755202670666086E-2</v>
      </c>
      <c r="O29" s="77">
        <f>O23/'Revenue Schedule'!N27</f>
        <v>1.2138363030096657E-2</v>
      </c>
    </row>
    <row r="30" spans="1:16" x14ac:dyDescent="0.25">
      <c r="A30" t="s">
        <v>392</v>
      </c>
      <c r="B30" t="s">
        <v>13</v>
      </c>
      <c r="D30" s="16"/>
      <c r="E30" s="77">
        <f>IFERROR(E23/'Revenue Schedule'!D16,"")</f>
        <v>4.489637431442023E-3</v>
      </c>
      <c r="F30" s="77">
        <f>IFERROR(F23/'Revenue Schedule'!E16,"")</f>
        <v>5.7556748367069777E-3</v>
      </c>
      <c r="G30" s="77">
        <f>IFERROR(G23/'Revenue Schedule'!F16,"")</f>
        <v>8.7328053355564816E-3</v>
      </c>
      <c r="H30" s="77">
        <f>IFERROR(H23/'Revenue Schedule'!G16,"")</f>
        <v>7.6847657027410733E-3</v>
      </c>
      <c r="I30" s="77">
        <f>IFERROR(I23/'Revenue Schedule'!H16,"")</f>
        <v>8.4296395046625748E-3</v>
      </c>
      <c r="J30" s="77">
        <f>IFERROR(J23/'Revenue Schedule'!I16,"")</f>
        <v>8.7835927778198517E-3</v>
      </c>
      <c r="K30" s="77">
        <f>IFERROR(K23/'Revenue Schedule'!J16,"")</f>
        <v>9.0425981651851509E-3</v>
      </c>
      <c r="L30" s="77">
        <f>IFERROR(L23/'Revenue Schedule'!K16,"")</f>
        <v>9.2696304553231881E-3</v>
      </c>
      <c r="M30" s="77">
        <f>IFERROR(M23/'Revenue Schedule'!L16,"")</f>
        <v>9.4447107492140227E-3</v>
      </c>
      <c r="N30" s="77">
        <f>IFERROR(N23/'Revenue Schedule'!M16,"")</f>
        <v>9.5837136607736951E-3</v>
      </c>
      <c r="O30" s="77">
        <f>IFERROR(O23/'Revenue Schedule'!N16,"")</f>
        <v>9.9486410540167731E-3</v>
      </c>
    </row>
    <row r="31" spans="1:16" ht="25.5" x14ac:dyDescent="0.25">
      <c r="A31" t="s">
        <v>1374</v>
      </c>
      <c r="B31" t="s">
        <v>393</v>
      </c>
      <c r="D31" s="20"/>
      <c r="E31" s="64">
        <f>E23/'Revenue Schedule'!D60*100</f>
        <v>35.171102661596962</v>
      </c>
      <c r="F31" s="64">
        <f>F23/'Revenue Schedule'!E60*100</f>
        <v>27.363566487317449</v>
      </c>
      <c r="G31" s="64">
        <f>IFERROR(G23/Assumptions!G16*100,"")</f>
        <v>37.36067766384307</v>
      </c>
      <c r="H31" s="64">
        <f>IFERROR(H23/Assumptions!H16*100,"")</f>
        <v>41.489679928208197</v>
      </c>
      <c r="I31" s="64">
        <f>IFERROR(I23/Assumptions!I16*100,"")</f>
        <v>45.256438476777461</v>
      </c>
      <c r="J31" s="64">
        <f>IFERROR(J23/Assumptions!J16*100,"")</f>
        <v>48.656512065719667</v>
      </c>
      <c r="K31" s="64">
        <f>IFERROR(K23/Assumptions!K16*100,"")</f>
        <v>51.925997514841917</v>
      </c>
      <c r="L31" s="64">
        <f>IFERROR(L23/Assumptions!L16*100,"")</f>
        <v>55.320372713677671</v>
      </c>
      <c r="M31" s="64">
        <f>IFERROR(M23/Assumptions!M16*100,"")</f>
        <v>58.706955753948783</v>
      </c>
      <c r="N31" s="64">
        <f>IFERROR(N23/Assumptions!N16*100,"")</f>
        <v>62.14766243719663</v>
      </c>
      <c r="O31" s="64">
        <f>IFERROR(O23/Assumptions!O16*100,"")</f>
        <v>65.682380274301138</v>
      </c>
      <c r="P31" s="157" t="s">
        <v>960</v>
      </c>
    </row>
    <row r="32" spans="1:16" x14ac:dyDescent="0.25">
      <c r="A32" t="s">
        <v>394</v>
      </c>
      <c r="B32" t="s">
        <v>217</v>
      </c>
      <c r="D32" s="95">
        <f>D12/IS!D48</f>
        <v>-0.59514687100893993</v>
      </c>
      <c r="E32" s="95">
        <f>E12/IS!E48</f>
        <v>2.013440860215054</v>
      </c>
      <c r="F32" s="95">
        <f>F12/IS!F48</f>
        <v>1.8952734012974977</v>
      </c>
      <c r="G32" s="95">
        <f>G12/IS!G48</f>
        <v>3.8620689655172415</v>
      </c>
      <c r="H32" s="95">
        <f>H12/IS!H48</f>
        <v>3.0225141360839487</v>
      </c>
      <c r="I32" s="95">
        <f>I12/IS!I48</f>
        <v>2.020721919377106</v>
      </c>
      <c r="J32" s="95">
        <f>J12/IS!J48</f>
        <v>1.3649247598579062</v>
      </c>
      <c r="K32" s="95">
        <f>K12/IS!K48</f>
        <v>1.0245171609642103</v>
      </c>
      <c r="L32" s="95">
        <f>L12/IS!L48</f>
        <v>0.82241539940822983</v>
      </c>
      <c r="M32" s="95">
        <f>M12/IS!M48</f>
        <v>0.70714330424719662</v>
      </c>
      <c r="N32" s="95">
        <f>N12/IS!N48</f>
        <v>0.59794652075416632</v>
      </c>
      <c r="O32" s="95">
        <f>O12/IS!O48</f>
        <v>0.5069870086151711</v>
      </c>
    </row>
    <row r="33" spans="1:15" x14ac:dyDescent="0.25">
      <c r="A33" t="s">
        <v>395</v>
      </c>
      <c r="B33" t="s">
        <v>9</v>
      </c>
      <c r="D33" s="59">
        <f>D12-CFS!D32</f>
        <v>-10857</v>
      </c>
      <c r="E33" s="59">
        <f>E12-CFS!E32</f>
        <v>-11492</v>
      </c>
      <c r="F33" s="59">
        <f>F12-CFS!F32</f>
        <v>-14761</v>
      </c>
      <c r="G33" s="59">
        <f>G12-CFS!G32</f>
        <v>-13380</v>
      </c>
      <c r="H33" s="59">
        <f>H12-CFS!H32</f>
        <v>2019.8423546836548</v>
      </c>
      <c r="I33" s="59">
        <f>I12-CFS!I32</f>
        <v>16334.907133608427</v>
      </c>
      <c r="J33" s="59">
        <f>J12-CFS!J32</f>
        <v>28210.690691520096</v>
      </c>
      <c r="K33" s="59">
        <f>K12-CFS!K32</f>
        <v>38174.657303700835</v>
      </c>
      <c r="L33" s="59">
        <f>L12-CFS!L32</f>
        <v>40690.407214972809</v>
      </c>
      <c r="M33" s="59">
        <f>M12-CFS!M32</f>
        <v>34910.603527520281</v>
      </c>
      <c r="N33" s="59">
        <f>N12-CFS!N32</f>
        <v>19473.827541302115</v>
      </c>
      <c r="O33" s="59">
        <f>O12-CFS!O32</f>
        <v>-3510.2818517662272</v>
      </c>
    </row>
    <row r="34" spans="1:15" x14ac:dyDescent="0.25">
      <c r="A34" t="s">
        <v>396</v>
      </c>
      <c r="B34" t="s">
        <v>217</v>
      </c>
      <c r="D34" s="95">
        <f>D33/IS!D48</f>
        <v>13.865900383141762</v>
      </c>
      <c r="E34" s="95">
        <f>E33/IS!E48</f>
        <v>-30.892473118279568</v>
      </c>
      <c r="F34" s="95">
        <f>F33/IS!F48</f>
        <v>-13.680259499536607</v>
      </c>
      <c r="G34" s="95">
        <f>G33/IS!G48</f>
        <v>-11.253153910849454</v>
      </c>
      <c r="H34" s="95">
        <f>H33/IS!H48</f>
        <v>0.79726058303877245</v>
      </c>
      <c r="I34" s="95">
        <f>I33/IS!I48</f>
        <v>3.0127225615306243</v>
      </c>
      <c r="J34" s="95">
        <f>J33/IS!J48</f>
        <v>2.6713306348604715</v>
      </c>
      <c r="K34" s="95">
        <f>K33/IS!K48</f>
        <v>2.1812326296683477</v>
      </c>
      <c r="L34" s="95">
        <f>L33/IS!L48</f>
        <v>1.576833772883955</v>
      </c>
      <c r="M34" s="95">
        <f>M33/IS!M48</f>
        <v>1.0234420203630681</v>
      </c>
      <c r="N34" s="95">
        <f>N33/IS!N48</f>
        <v>0.4408380079536654</v>
      </c>
      <c r="O34" s="95">
        <f>O33/IS!O48</f>
        <v>-6.393703094883256E-2</v>
      </c>
    </row>
    <row r="35" spans="1:15" x14ac:dyDescent="0.25">
      <c r="A35" t="s">
        <v>397</v>
      </c>
      <c r="B35" t="s">
        <v>217</v>
      </c>
      <c r="D35" s="95">
        <f>IS!D48/D25</f>
        <v>-15.979591836734693</v>
      </c>
      <c r="E35" s="95">
        <f>IS!E48/E25</f>
        <v>5.166666666666667</v>
      </c>
      <c r="F35" s="95">
        <f>F17*0+IS!F48/F25</f>
        <v>7.0064935064935066</v>
      </c>
      <c r="G35" s="95">
        <f>IS!G48/G25</f>
        <v>3.0331632653061225</v>
      </c>
      <c r="H35" s="95">
        <f>IS!H48/H25</f>
        <v>5.1127952723222805</v>
      </c>
      <c r="I35" s="95">
        <f>IS!I48/I25</f>
        <v>6.5616809202088957</v>
      </c>
      <c r="J35" s="95">
        <f>IS!J48/J25</f>
        <v>8.9323368517838144</v>
      </c>
      <c r="K35" s="95">
        <f>IS!K48/K25</f>
        <v>11.251786297507921</v>
      </c>
      <c r="L35" s="95">
        <f>IS!L48/L25</f>
        <v>13.336959267199191</v>
      </c>
      <c r="M35" s="95">
        <f>IS!M48/M25</f>
        <v>14.89497766704026</v>
      </c>
      <c r="N35" s="95">
        <f>IS!N48/N25</f>
        <v>16.971250453645244</v>
      </c>
      <c r="O35" s="95">
        <f>IS!O48/O25</f>
        <v>19.261849825873778</v>
      </c>
    </row>
    <row r="36" spans="1:15" x14ac:dyDescent="0.25">
      <c r="A36" t="s">
        <v>398</v>
      </c>
      <c r="B36" t="s">
        <v>217</v>
      </c>
      <c r="F36" s="340">
        <f>F12/F22</f>
        <v>9.7846889952153102</v>
      </c>
      <c r="G36" s="340">
        <f>G12/G22</f>
        <v>9.7494692144373669</v>
      </c>
      <c r="H36" s="340">
        <f>H12/H22</f>
        <v>8.5895928617940651</v>
      </c>
      <c r="I36" s="340">
        <f t="shared" ref="I36:O36" si="27">I12/I22</f>
        <v>8.9098018790918889</v>
      </c>
      <c r="J36" s="340">
        <f t="shared" si="27"/>
        <v>8.6795823025895178</v>
      </c>
      <c r="K36" s="340">
        <f t="shared" si="27"/>
        <v>8.129660501689429</v>
      </c>
      <c r="L36" s="340">
        <f t="shared" si="27"/>
        <v>7.3839589004683992</v>
      </c>
      <c r="M36" s="340">
        <f t="shared" si="27"/>
        <v>6.5300468010749224</v>
      </c>
      <c r="N36" s="340">
        <f t="shared" si="27"/>
        <v>5.6258781088561429</v>
      </c>
      <c r="O36" s="340">
        <f t="shared" si="27"/>
        <v>4.706819318879532</v>
      </c>
    </row>
    <row r="38" spans="1:15" x14ac:dyDescent="0.25">
      <c r="A38" s="8" t="s">
        <v>375</v>
      </c>
    </row>
    <row r="39" spans="1:15" x14ac:dyDescent="0.25">
      <c r="A39" t="s">
        <v>1406</v>
      </c>
    </row>
    <row r="40" spans="1:15" x14ac:dyDescent="0.25">
      <c r="A40" t="s">
        <v>1407</v>
      </c>
    </row>
    <row r="41" spans="1:15" x14ac:dyDescent="0.25">
      <c r="A41" t="s">
        <v>1408</v>
      </c>
    </row>
    <row r="42" spans="1:15" x14ac:dyDescent="0.25">
      <c r="A42" t="s">
        <v>399</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4B17-4C8E-44A3-A6E2-5F7B74DBBD2A}">
  <dimension ref="A1:O14"/>
  <sheetViews>
    <sheetView workbookViewId="0"/>
  </sheetViews>
  <sheetFormatPr defaultRowHeight="15" x14ac:dyDescent="0.25"/>
  <cols>
    <col min="1" max="1" width="57.140625" customWidth="1"/>
  </cols>
  <sheetData>
    <row r="1" spans="1:15" x14ac:dyDescent="0.25">
      <c r="A1" s="3" t="s">
        <v>1520</v>
      </c>
    </row>
    <row r="2" spans="1:15" x14ac:dyDescent="0.25">
      <c r="A2" s="212" t="s">
        <v>75</v>
      </c>
      <c r="B2" s="212" t="s">
        <v>5</v>
      </c>
      <c r="C2" s="212"/>
      <c r="D2" s="212" t="str">
        <f>IS!D2</f>
        <v>FY2023A</v>
      </c>
      <c r="E2" s="212" t="str">
        <f>IS!E2</f>
        <v>FY2024A</v>
      </c>
      <c r="F2" s="212" t="str">
        <f>IS!F2</f>
        <v>FY2025A</v>
      </c>
      <c r="G2" s="212" t="str">
        <f>IS!G2</f>
        <v>FY2026A</v>
      </c>
      <c r="H2" s="212" t="str">
        <f>IS!H2</f>
        <v>FY2027E</v>
      </c>
      <c r="I2" s="212" t="str">
        <f>IS!I2</f>
        <v>FY2028E</v>
      </c>
      <c r="J2" s="212" t="str">
        <f>IS!J2</f>
        <v>FY2029E</v>
      </c>
      <c r="K2" s="212" t="str">
        <f>IS!K2</f>
        <v>FY2030E</v>
      </c>
      <c r="L2" s="212" t="str">
        <f>IS!L2</f>
        <v>FY2031E</v>
      </c>
      <c r="M2" s="212" t="str">
        <f>IS!M2</f>
        <v>FY2032E</v>
      </c>
      <c r="N2" s="212" t="str">
        <f>IS!N2</f>
        <v>FY2033E</v>
      </c>
      <c r="O2" s="212" t="str">
        <f>IS!O2</f>
        <v>FY2034E</v>
      </c>
    </row>
    <row r="4" spans="1:15" x14ac:dyDescent="0.25">
      <c r="A4" t="s">
        <v>1521</v>
      </c>
      <c r="B4" t="s">
        <v>9</v>
      </c>
      <c r="D4" s="65"/>
      <c r="E4" s="65"/>
      <c r="F4" s="65"/>
      <c r="G4" s="65"/>
      <c r="H4" s="190">
        <f>IS!H26</f>
        <v>-7456.6258398064401</v>
      </c>
      <c r="I4" s="190">
        <f>IS!I26</f>
        <v>-8227.68450995491</v>
      </c>
      <c r="J4" s="190">
        <f>IS!J26</f>
        <v>-7060.4535950533782</v>
      </c>
      <c r="K4" s="190">
        <f>IS!K26</f>
        <v>-3202.4176929232726</v>
      </c>
      <c r="L4" s="190">
        <f>IS!L26</f>
        <v>3678.6790039667012</v>
      </c>
      <c r="M4" s="190">
        <f>IS!M26</f>
        <v>12717.939025862432</v>
      </c>
      <c r="N4" s="190">
        <f>IS!N26</f>
        <v>27329.603407957409</v>
      </c>
      <c r="O4" s="190">
        <f>IS!O26</f>
        <v>39666.097066060305</v>
      </c>
    </row>
    <row r="5" spans="1:15" x14ac:dyDescent="0.25">
      <c r="A5" t="s">
        <v>1522</v>
      </c>
      <c r="B5" t="s">
        <v>9</v>
      </c>
      <c r="D5" s="65"/>
      <c r="E5" s="65"/>
      <c r="F5" s="65"/>
      <c r="G5" s="65"/>
      <c r="H5" s="190">
        <f>Assumptions!B156</f>
        <v>0</v>
      </c>
      <c r="I5" s="151">
        <f>H8</f>
        <v>7456.6258398064401</v>
      </c>
      <c r="J5" s="151">
        <f>I8</f>
        <v>15684.31034976135</v>
      </c>
      <c r="K5" s="151">
        <f>J8</f>
        <v>22744.763944814727</v>
      </c>
      <c r="L5" s="151">
        <f>K8</f>
        <v>25947.181637738002</v>
      </c>
      <c r="M5" s="151">
        <f>L8</f>
        <v>22268.502633771299</v>
      </c>
      <c r="N5" s="151">
        <f>M8</f>
        <v>9550.5636079088672</v>
      </c>
      <c r="O5" s="151">
        <f>N8</f>
        <v>0</v>
      </c>
    </row>
    <row r="6" spans="1:15" x14ac:dyDescent="0.25">
      <c r="A6" t="s">
        <v>1523</v>
      </c>
      <c r="B6" t="s">
        <v>9</v>
      </c>
      <c r="D6" s="65"/>
      <c r="E6" s="65"/>
      <c r="F6" s="65"/>
      <c r="G6" s="65"/>
      <c r="H6" s="151">
        <f>MAX(0,-H4)</f>
        <v>7456.6258398064401</v>
      </c>
      <c r="I6" s="151">
        <f>MAX(0,-I4)</f>
        <v>8227.68450995491</v>
      </c>
      <c r="J6" s="151">
        <f>MAX(0,-J4)</f>
        <v>7060.4535950533782</v>
      </c>
      <c r="K6" s="151">
        <f>MAX(0,-K4)</f>
        <v>3202.4176929232726</v>
      </c>
      <c r="L6" s="151">
        <f>MAX(0,-L4)</f>
        <v>0</v>
      </c>
      <c r="M6" s="151">
        <f>MAX(0,-M4)</f>
        <v>0</v>
      </c>
      <c r="N6" s="151">
        <f>MAX(0,-N4)</f>
        <v>0</v>
      </c>
      <c r="O6" s="151">
        <f>MAX(0,-O4)</f>
        <v>0</v>
      </c>
    </row>
    <row r="7" spans="1:15" x14ac:dyDescent="0.25">
      <c r="A7" t="s">
        <v>1524</v>
      </c>
      <c r="B7" t="s">
        <v>9</v>
      </c>
      <c r="D7" s="65"/>
      <c r="E7" s="65"/>
      <c r="F7" s="65"/>
      <c r="G7" s="65"/>
      <c r="H7" s="151">
        <f>MIN(H5,MAX(0,H4))</f>
        <v>0</v>
      </c>
      <c r="I7" s="151">
        <f>MIN(I5,MAX(0,I4))</f>
        <v>0</v>
      </c>
      <c r="J7" s="151">
        <f>MIN(J5,MAX(0,J4))</f>
        <v>0</v>
      </c>
      <c r="K7" s="151">
        <f>MIN(K5,MAX(0,K4))</f>
        <v>0</v>
      </c>
      <c r="L7" s="151">
        <f>MIN(L5,MAX(0,L4))</f>
        <v>3678.6790039667012</v>
      </c>
      <c r="M7" s="151">
        <f>MIN(M5,MAX(0,M4))</f>
        <v>12717.939025862432</v>
      </c>
      <c r="N7" s="151">
        <f>MIN(N5,MAX(0,N4))</f>
        <v>9550.5636079088672</v>
      </c>
      <c r="O7" s="151">
        <f>MIN(O5,MAX(0,O4))</f>
        <v>0</v>
      </c>
    </row>
    <row r="8" spans="1:15" x14ac:dyDescent="0.25">
      <c r="A8" t="s">
        <v>1525</v>
      </c>
      <c r="B8" t="s">
        <v>9</v>
      </c>
      <c r="D8" s="65"/>
      <c r="E8" s="65"/>
      <c r="F8" s="65"/>
      <c r="G8" s="65"/>
      <c r="H8" s="151">
        <f>H5+H6-H7</f>
        <v>7456.6258398064401</v>
      </c>
      <c r="I8" s="151">
        <f>I5+I6-I7</f>
        <v>15684.31034976135</v>
      </c>
      <c r="J8" s="151">
        <f>J5+J6-J7</f>
        <v>22744.763944814727</v>
      </c>
      <c r="K8" s="151">
        <f>K5+K6-K7</f>
        <v>25947.181637738002</v>
      </c>
      <c r="L8" s="151">
        <f>L5+L6-L7</f>
        <v>22268.502633771299</v>
      </c>
      <c r="M8" s="151">
        <f>M5+M6-M7</f>
        <v>9550.5636079088672</v>
      </c>
      <c r="N8" s="151">
        <f>N5+N6-N7</f>
        <v>0</v>
      </c>
      <c r="O8" s="151">
        <f>O5+O6-O7</f>
        <v>0</v>
      </c>
    </row>
    <row r="9" spans="1:15" x14ac:dyDescent="0.25">
      <c r="A9" t="s">
        <v>1526</v>
      </c>
      <c r="B9" t="s">
        <v>9</v>
      </c>
      <c r="D9" s="65"/>
      <c r="E9" s="65"/>
      <c r="F9" s="65"/>
      <c r="G9" s="65"/>
      <c r="H9" s="151">
        <f>MAX(0,H4)-H7</f>
        <v>0</v>
      </c>
      <c r="I9" s="151">
        <f>MAX(0,I4)-I7</f>
        <v>0</v>
      </c>
      <c r="J9" s="151">
        <f>MAX(0,J4)-J7</f>
        <v>0</v>
      </c>
      <c r="K9" s="151">
        <f>MAX(0,K4)-K7</f>
        <v>0</v>
      </c>
      <c r="L9" s="151">
        <f>MAX(0,L4)-L7</f>
        <v>0</v>
      </c>
      <c r="M9" s="151">
        <f>MAX(0,M4)-M7</f>
        <v>0</v>
      </c>
      <c r="N9" s="151">
        <f>MAX(0,N4)-N7</f>
        <v>17779.039800048544</v>
      </c>
      <c r="O9" s="151">
        <f>MAX(0,O4)-O7</f>
        <v>39666.097066060305</v>
      </c>
    </row>
    <row r="10" spans="1:15" x14ac:dyDescent="0.25">
      <c r="A10" t="s">
        <v>1527</v>
      </c>
      <c r="B10" t="s">
        <v>13</v>
      </c>
      <c r="D10" s="15"/>
      <c r="E10" s="15"/>
      <c r="F10" s="15"/>
      <c r="G10" s="15"/>
      <c r="H10" s="198">
        <f>Assumptions!$B$157</f>
        <v>0.25169999999999998</v>
      </c>
      <c r="I10" s="198">
        <f>Assumptions!$B$157</f>
        <v>0.25169999999999998</v>
      </c>
      <c r="J10" s="198">
        <f>Assumptions!$B$157</f>
        <v>0.25169999999999998</v>
      </c>
      <c r="K10" s="198">
        <f>Assumptions!$B$157</f>
        <v>0.25169999999999998</v>
      </c>
      <c r="L10" s="198">
        <f>Assumptions!$B$157</f>
        <v>0.25169999999999998</v>
      </c>
      <c r="M10" s="198">
        <f>Assumptions!$B$157</f>
        <v>0.25169999999999998</v>
      </c>
      <c r="N10" s="198">
        <f>Assumptions!$B$157</f>
        <v>0.25169999999999998</v>
      </c>
      <c r="O10" s="198">
        <f>Assumptions!$B$157</f>
        <v>0.25169999999999998</v>
      </c>
    </row>
    <row r="11" spans="1:15" x14ac:dyDescent="0.25">
      <c r="A11" t="s">
        <v>1528</v>
      </c>
      <c r="B11" t="s">
        <v>9</v>
      </c>
      <c r="D11" s="65"/>
      <c r="E11" s="65"/>
      <c r="F11" s="65"/>
      <c r="G11" s="65"/>
      <c r="H11" s="151">
        <f>-H9*H10</f>
        <v>0</v>
      </c>
      <c r="I11" s="151">
        <f>-I9*I10</f>
        <v>0</v>
      </c>
      <c r="J11" s="151">
        <f>-J9*J10</f>
        <v>0</v>
      </c>
      <c r="K11" s="151">
        <f>-K9*K10</f>
        <v>0</v>
      </c>
      <c r="L11" s="151">
        <f>-L9*L10</f>
        <v>0</v>
      </c>
      <c r="M11" s="151">
        <f>-M9*M10</f>
        <v>0</v>
      </c>
      <c r="N11" s="151">
        <f>-N9*N10</f>
        <v>-4474.9843176722179</v>
      </c>
      <c r="O11" s="151">
        <f>-O9*O10</f>
        <v>-9983.9566315273787</v>
      </c>
    </row>
    <row r="12" spans="1:15" x14ac:dyDescent="0.25">
      <c r="A12" t="s">
        <v>1529</v>
      </c>
      <c r="B12" t="s">
        <v>13</v>
      </c>
      <c r="D12" s="37"/>
      <c r="E12" s="37"/>
      <c r="F12" s="37"/>
      <c r="G12" s="37"/>
      <c r="H12" s="259">
        <f>IF(H4&gt;0,-H11/H4,0)</f>
        <v>0</v>
      </c>
      <c r="I12" s="259">
        <f>IF(I4&gt;0,-I11/I4,0)</f>
        <v>0</v>
      </c>
      <c r="J12" s="259">
        <f>IF(J4&gt;0,-J11/J4,0)</f>
        <v>0</v>
      </c>
      <c r="K12" s="259">
        <f>IF(K4&gt;0,-K11/K4,0)</f>
        <v>0</v>
      </c>
      <c r="L12" s="259">
        <f>IF(L4&gt;0,-L11/L4,0)</f>
        <v>0</v>
      </c>
      <c r="M12" s="259">
        <f>IF(M4&gt;0,-M11/M4,0)</f>
        <v>0</v>
      </c>
      <c r="N12" s="259">
        <f>IF(N4&gt;0,-N11/N4,0)</f>
        <v>0.16374128269893817</v>
      </c>
      <c r="O12" s="259">
        <f>IF(O4&gt;0,-O11/O4,0)</f>
        <v>0.25169999999999998</v>
      </c>
    </row>
    <row r="14" spans="1:15" x14ac:dyDescent="0.25">
      <c r="A14" t="s">
        <v>1530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E53D-459A-4AA0-A95E-C1301944B98E}">
  <dimension ref="A1:Q38"/>
  <sheetViews>
    <sheetView topLeftCell="A4" zoomScale="60" zoomScaleNormal="60" workbookViewId="0">
      <selection activeCell="P24" sqref="P24"/>
    </sheetView>
  </sheetViews>
  <sheetFormatPr defaultRowHeight="15" x14ac:dyDescent="0.25"/>
  <cols>
    <col min="1" max="1" width="54.5703125" customWidth="1"/>
    <col min="2" max="5" width="10.85546875" customWidth="1"/>
    <col min="6" max="15" width="14.140625" customWidth="1"/>
    <col min="16" max="16" width="72.7109375" style="24" customWidth="1"/>
    <col min="17" max="17" width="47.28515625" customWidth="1"/>
  </cols>
  <sheetData>
    <row r="1" spans="1:17" ht="18.75" x14ac:dyDescent="0.3">
      <c r="A1" s="5" t="s">
        <v>400</v>
      </c>
      <c r="Q1" s="137" t="str">
        <f>Data_Sources!$D$29&amp;" | "&amp;Data_Sources!$E$29&amp;" | "&amp;Data_Sources!$F$29</f>
        <v>Eternal Q4FY25 and Q4FY26 audited consolidated balance sheets | Annexure E | https://b.zmtcdn.com/investor-relations/Eternal_Shareholders_Letter_Q4FY26_Results.pdf</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8" t="s">
        <v>401</v>
      </c>
    </row>
    <row r="5" spans="1:17" x14ac:dyDescent="0.25">
      <c r="A5" t="s">
        <v>833</v>
      </c>
      <c r="B5" t="s">
        <v>9</v>
      </c>
      <c r="D5" s="59">
        <f>'Revenue Schedule'!C31</f>
        <v>7079</v>
      </c>
      <c r="E5" s="59">
        <f>'Revenue Schedule'!D31</f>
        <v>12114</v>
      </c>
      <c r="F5" s="59">
        <f>'Revenue Schedule'!E31</f>
        <v>20243</v>
      </c>
      <c r="G5" s="59">
        <f>'Revenue Schedule'!F31</f>
        <v>54364</v>
      </c>
      <c r="H5" s="59">
        <f>'Revenue Schedule'!G31</f>
        <v>130546.60204</v>
      </c>
      <c r="I5" s="59">
        <f>'Revenue Schedule'!H31</f>
        <v>181469.48782399998</v>
      </c>
      <c r="J5" s="59">
        <f>'Revenue Schedule'!I31</f>
        <v>246454.50294327998</v>
      </c>
      <c r="K5" s="59">
        <f>'Revenue Schedule'!J31</f>
        <v>321890.26672094397</v>
      </c>
      <c r="L5" s="59">
        <f>'Revenue Schedule'!K31</f>
        <v>406825.36460368003</v>
      </c>
      <c r="M5" s="59">
        <f>'Revenue Schedule'!L31</f>
        <v>501959.06929659995</v>
      </c>
      <c r="N5" s="59">
        <f>'Revenue Schedule'!M31</f>
        <v>608647.48749380012</v>
      </c>
      <c r="O5" s="59">
        <f>'Revenue Schedule'!N31</f>
        <v>707913.6048823701</v>
      </c>
    </row>
    <row r="6" spans="1:17" x14ac:dyDescent="0.25">
      <c r="A6" t="s">
        <v>402</v>
      </c>
      <c r="B6" t="s">
        <v>9</v>
      </c>
      <c r="D6" s="59">
        <f>'Cost Schedule'!D6</f>
        <v>1395</v>
      </c>
      <c r="E6" s="59">
        <f>'Cost Schedule'!E6</f>
        <v>2882</v>
      </c>
      <c r="F6" s="59">
        <f>'Cost Schedule'!F6</f>
        <v>5565</v>
      </c>
      <c r="G6" s="59">
        <f>'Cost Schedule'!G6</f>
        <v>30167</v>
      </c>
      <c r="H6" s="59">
        <f>'Cost Schedule'!H6</f>
        <v>83490.547000000006</v>
      </c>
      <c r="I6" s="59">
        <f>'Cost Schedule'!I6</f>
        <v>116049.88900000001</v>
      </c>
      <c r="J6" s="59">
        <f>'Cost Schedule'!J6</f>
        <v>158151.74991000001</v>
      </c>
      <c r="K6" s="59">
        <f>'Cost Schedule'!K6</f>
        <v>206480.48237399998</v>
      </c>
      <c r="L6" s="59">
        <f>'Cost Schedule'!L6</f>
        <v>260741.78902720008</v>
      </c>
      <c r="M6" s="59">
        <f>'Cost Schedule'!M6</f>
        <v>323414.69303808</v>
      </c>
      <c r="N6" s="59">
        <f>'Cost Schedule'!N6</f>
        <v>390738.08032236795</v>
      </c>
      <c r="O6" s="59">
        <f>'Cost Schedule'!O6</f>
        <v>455499.36617631523</v>
      </c>
    </row>
    <row r="7" spans="1:17" x14ac:dyDescent="0.25">
      <c r="A7" t="s">
        <v>403</v>
      </c>
      <c r="B7" t="s">
        <v>341</v>
      </c>
      <c r="D7" s="341">
        <f>D12/D5*365</f>
        <v>23.563356406272071</v>
      </c>
      <c r="E7" s="341">
        <f>E12/E5*365</f>
        <v>23.923559517913159</v>
      </c>
      <c r="F7" s="341">
        <f>F12/F5*365</f>
        <v>35.088178629649761</v>
      </c>
      <c r="G7" s="341">
        <f>G12/G5*365</f>
        <v>11.843499374586123</v>
      </c>
      <c r="H7" s="342">
        <f>Assumptions!H102</f>
        <v>12</v>
      </c>
      <c r="I7" s="342">
        <f>Assumptions!I102</f>
        <v>12</v>
      </c>
      <c r="J7" s="342">
        <f>Assumptions!J102</f>
        <v>12</v>
      </c>
      <c r="K7" s="342">
        <f>Assumptions!K102</f>
        <v>12</v>
      </c>
      <c r="L7" s="342">
        <f>Assumptions!L102</f>
        <v>12</v>
      </c>
      <c r="M7" s="342">
        <f>Assumptions!M102</f>
        <v>12</v>
      </c>
      <c r="N7" s="342">
        <f>Assumptions!N102</f>
        <v>12</v>
      </c>
      <c r="O7" s="342">
        <f>Assumptions!O102</f>
        <v>12</v>
      </c>
    </row>
    <row r="8" spans="1:17" x14ac:dyDescent="0.25">
      <c r="A8" t="s">
        <v>404</v>
      </c>
      <c r="B8" t="s">
        <v>341</v>
      </c>
      <c r="D8" s="341">
        <f>IFERROR(D13/D6*365,"")</f>
        <v>21.716845878136201</v>
      </c>
      <c r="E8" s="341">
        <f>IFERROR(E13/E6*365,"")</f>
        <v>11.145038167938932</v>
      </c>
      <c r="F8" s="341">
        <f>IFERROR(F13/F6*365,"")</f>
        <v>11.543575920934412</v>
      </c>
      <c r="G8" s="341">
        <f>IFERROR(G13/G6*365,"")</f>
        <v>26.388603440845959</v>
      </c>
      <c r="H8" s="342">
        <f>Assumptions!H103</f>
        <v>26</v>
      </c>
      <c r="I8" s="342">
        <f>Assumptions!I103</f>
        <v>26</v>
      </c>
      <c r="J8" s="342">
        <f>Assumptions!J103</f>
        <v>25</v>
      </c>
      <c r="K8" s="342">
        <f>Assumptions!K103</f>
        <v>25</v>
      </c>
      <c r="L8" s="342">
        <f>Assumptions!L103</f>
        <v>24</v>
      </c>
      <c r="M8" s="342">
        <f>Assumptions!M103</f>
        <v>24</v>
      </c>
      <c r="N8" s="342">
        <f>Assumptions!N103</f>
        <v>24</v>
      </c>
      <c r="O8" s="342">
        <f>Assumptions!O103</f>
        <v>24</v>
      </c>
    </row>
    <row r="9" spans="1:17" x14ac:dyDescent="0.25">
      <c r="A9" t="s">
        <v>405</v>
      </c>
      <c r="B9" t="s">
        <v>341</v>
      </c>
      <c r="D9" s="341">
        <f>IFERROR(D18/D6*365,"")</f>
        <v>177.65949820788529</v>
      </c>
      <c r="E9" s="341">
        <f>IFERROR(E18/E6*365,"")</f>
        <v>112.21027064538515</v>
      </c>
      <c r="F9" s="341">
        <f>IFERROR(F18/F6*365,"")</f>
        <v>100.74393530997305</v>
      </c>
      <c r="G9" s="341">
        <f>IFERROR(G18/G6*365,"")</f>
        <v>36.418934597407763</v>
      </c>
      <c r="H9" s="342">
        <f>Assumptions!H104</f>
        <v>36</v>
      </c>
      <c r="I9" s="342">
        <f>Assumptions!I104</f>
        <v>37</v>
      </c>
      <c r="J9" s="342">
        <f>Assumptions!J104</f>
        <v>38</v>
      </c>
      <c r="K9" s="342">
        <f>Assumptions!K104</f>
        <v>38</v>
      </c>
      <c r="L9" s="342">
        <f>Assumptions!L104</f>
        <v>38</v>
      </c>
      <c r="M9" s="342">
        <f>Assumptions!M104</f>
        <v>38</v>
      </c>
      <c r="N9" s="342">
        <f>Assumptions!N104</f>
        <v>38</v>
      </c>
      <c r="O9" s="342">
        <f>Assumptions!O104</f>
        <v>38</v>
      </c>
    </row>
    <row r="10" spans="1:17" x14ac:dyDescent="0.25">
      <c r="H10" s="70"/>
      <c r="I10" s="70"/>
      <c r="J10" s="70"/>
      <c r="K10" s="70"/>
      <c r="L10" s="70"/>
      <c r="M10" s="70"/>
      <c r="N10" s="70"/>
      <c r="O10" s="70"/>
    </row>
    <row r="11" spans="1:17" x14ac:dyDescent="0.25">
      <c r="A11" s="8" t="s">
        <v>406</v>
      </c>
      <c r="H11" s="70"/>
      <c r="I11" s="70"/>
      <c r="J11" s="70"/>
      <c r="K11" s="70"/>
      <c r="L11" s="70"/>
      <c r="M11" s="70"/>
      <c r="N11" s="70"/>
      <c r="O11" s="70"/>
    </row>
    <row r="12" spans="1:17" x14ac:dyDescent="0.25">
      <c r="A12" t="s">
        <v>110</v>
      </c>
      <c r="B12" t="s">
        <v>9</v>
      </c>
      <c r="D12" s="254">
        <v>457</v>
      </c>
      <c r="E12" s="254">
        <v>794</v>
      </c>
      <c r="F12" s="254">
        <v>1946</v>
      </c>
      <c r="G12" s="254">
        <v>1764</v>
      </c>
      <c r="H12" s="292">
        <f>H5*H7/365</f>
        <v>4291.9430807671233</v>
      </c>
      <c r="I12" s="292">
        <f t="shared" ref="I12:O12" si="0">I5*I7/365</f>
        <v>5966.1201476383558</v>
      </c>
      <c r="J12" s="292">
        <f t="shared" si="0"/>
        <v>8102.6137953955067</v>
      </c>
      <c r="K12" s="292">
        <f t="shared" si="0"/>
        <v>10582.693700414597</v>
      </c>
      <c r="L12" s="292">
        <f t="shared" si="0"/>
        <v>13375.080480120987</v>
      </c>
      <c r="M12" s="292">
        <f t="shared" si="0"/>
        <v>16502.763922080001</v>
      </c>
      <c r="N12" s="292">
        <f t="shared" si="0"/>
        <v>20010.328355960552</v>
      </c>
      <c r="O12" s="292">
        <f t="shared" si="0"/>
        <v>23273.871941338195</v>
      </c>
    </row>
    <row r="13" spans="1:17" x14ac:dyDescent="0.25">
      <c r="A13" t="s">
        <v>109</v>
      </c>
      <c r="B13" t="s">
        <v>9</v>
      </c>
      <c r="D13" s="254">
        <v>83</v>
      </c>
      <c r="E13" s="254">
        <v>88</v>
      </c>
      <c r="F13" s="254">
        <v>176</v>
      </c>
      <c r="G13" s="254">
        <v>2181</v>
      </c>
      <c r="H13" s="292">
        <f>H6*H8/365</f>
        <v>5947.2718410958905</v>
      </c>
      <c r="I13" s="292">
        <f t="shared" ref="I13:O13" si="1">I6*I8/365</f>
        <v>8266.5674356164382</v>
      </c>
      <c r="J13" s="292">
        <f t="shared" si="1"/>
        <v>10832.311637671233</v>
      </c>
      <c r="K13" s="292">
        <f t="shared" si="1"/>
        <v>14142.498792739725</v>
      </c>
      <c r="L13" s="292">
        <f t="shared" si="1"/>
        <v>17144.665579870689</v>
      </c>
      <c r="M13" s="292">
        <f t="shared" si="1"/>
        <v>21265.623651818958</v>
      </c>
      <c r="N13" s="292">
        <f t="shared" si="1"/>
        <v>25692.366925306382</v>
      </c>
      <c r="O13" s="292">
        <f t="shared" si="1"/>
        <v>29950.643255428949</v>
      </c>
    </row>
    <row r="14" spans="1:17" x14ac:dyDescent="0.25">
      <c r="A14" t="s">
        <v>407</v>
      </c>
      <c r="B14" t="s">
        <v>9</v>
      </c>
      <c r="D14" s="254">
        <v>4789</v>
      </c>
      <c r="E14" s="254">
        <v>2565</v>
      </c>
      <c r="F14" s="254">
        <v>5713</v>
      </c>
      <c r="G14" s="254">
        <v>5141</v>
      </c>
      <c r="H14" s="59">
        <f>H5*Assumptions!H105</f>
        <v>11096.461173400001</v>
      </c>
      <c r="I14" s="59">
        <f>I5*Assumptions!I105</f>
        <v>15424.90646504</v>
      </c>
      <c r="J14" s="59">
        <f>J5*Assumptions!J105</f>
        <v>19716.360235462398</v>
      </c>
      <c r="K14" s="59">
        <f>K5*Assumptions!K105</f>
        <v>25751.221337675517</v>
      </c>
      <c r="L14" s="59">
        <f>L5*Assumptions!L105</f>
        <v>32546.029168294404</v>
      </c>
      <c r="M14" s="59">
        <f>M5*Assumptions!M105</f>
        <v>40156.725543727996</v>
      </c>
      <c r="N14" s="59">
        <f>N5*Assumptions!N105</f>
        <v>48691.798999504012</v>
      </c>
      <c r="O14" s="59">
        <f>O5*Assumptions!O105</f>
        <v>56633.088390589612</v>
      </c>
    </row>
    <row r="15" spans="1:17" x14ac:dyDescent="0.25">
      <c r="A15" s="3" t="s">
        <v>408</v>
      </c>
      <c r="B15" t="s">
        <v>9</v>
      </c>
      <c r="D15" s="325">
        <f>D12+D13+D14</f>
        <v>5329</v>
      </c>
      <c r="E15" s="325">
        <f>E12+E13+E14</f>
        <v>3447</v>
      </c>
      <c r="F15" s="325">
        <f>F12+F13+F14</f>
        <v>7835</v>
      </c>
      <c r="G15" s="325">
        <f>G12+G13+G14</f>
        <v>9086</v>
      </c>
      <c r="H15" s="325">
        <f>H12+H13+H14</f>
        <v>21335.676095263014</v>
      </c>
      <c r="I15" s="325">
        <f t="shared" ref="I15:O15" si="2">I12+I13+I14</f>
        <v>29657.594048294792</v>
      </c>
      <c r="J15" s="325">
        <f t="shared" si="2"/>
        <v>38651.285668529134</v>
      </c>
      <c r="K15" s="325">
        <f t="shared" si="2"/>
        <v>50476.413830829842</v>
      </c>
      <c r="L15" s="325">
        <f t="shared" si="2"/>
        <v>63065.775228286075</v>
      </c>
      <c r="M15" s="325">
        <f t="shared" si="2"/>
        <v>77925.113117626955</v>
      </c>
      <c r="N15" s="325">
        <f t="shared" si="2"/>
        <v>94394.494280770945</v>
      </c>
      <c r="O15" s="325">
        <f t="shared" si="2"/>
        <v>109857.60358735675</v>
      </c>
    </row>
    <row r="16" spans="1:17" x14ac:dyDescent="0.25">
      <c r="H16" s="70"/>
      <c r="I16" s="70"/>
      <c r="J16" s="70"/>
      <c r="K16" s="70"/>
      <c r="L16" s="70"/>
      <c r="M16" s="70"/>
      <c r="N16" s="70"/>
      <c r="O16" s="70"/>
    </row>
    <row r="17" spans="1:16" x14ac:dyDescent="0.25">
      <c r="A17" s="8" t="s">
        <v>409</v>
      </c>
      <c r="H17" s="70"/>
      <c r="I17" s="70"/>
      <c r="J17" s="70"/>
      <c r="K17" s="70"/>
      <c r="L17" s="70"/>
      <c r="M17" s="70"/>
      <c r="N17" s="70"/>
      <c r="O17" s="70"/>
    </row>
    <row r="18" spans="1:16" x14ac:dyDescent="0.25">
      <c r="A18" t="s">
        <v>116</v>
      </c>
      <c r="B18" t="s">
        <v>9</v>
      </c>
      <c r="D18" s="254">
        <v>679</v>
      </c>
      <c r="E18" s="254">
        <v>886</v>
      </c>
      <c r="F18" s="254">
        <v>1536</v>
      </c>
      <c r="G18" s="254">
        <v>3010</v>
      </c>
      <c r="H18" s="292">
        <f>H6*H9/365</f>
        <v>8234.684087671234</v>
      </c>
      <c r="I18" s="292">
        <f t="shared" ref="I18:O18" si="3">I6*I9/365</f>
        <v>11763.961350684933</v>
      </c>
      <c r="J18" s="292">
        <f t="shared" si="3"/>
        <v>16465.113689260277</v>
      </c>
      <c r="K18" s="292">
        <f t="shared" si="3"/>
        <v>21496.598164964384</v>
      </c>
      <c r="L18" s="292">
        <f t="shared" si="3"/>
        <v>27145.720501461925</v>
      </c>
      <c r="M18" s="292">
        <f t="shared" si="3"/>
        <v>33670.570782046685</v>
      </c>
      <c r="N18" s="292">
        <f t="shared" si="3"/>
        <v>40679.580965068446</v>
      </c>
      <c r="O18" s="292">
        <f t="shared" si="3"/>
        <v>47421.851821095835</v>
      </c>
    </row>
    <row r="19" spans="1:16" x14ac:dyDescent="0.25">
      <c r="A19" t="s">
        <v>410</v>
      </c>
      <c r="B19" t="s">
        <v>9</v>
      </c>
      <c r="D19" s="254">
        <v>612</v>
      </c>
      <c r="E19" s="254">
        <v>1036</v>
      </c>
      <c r="F19" s="254">
        <v>1399</v>
      </c>
      <c r="G19" s="254">
        <v>1888</v>
      </c>
      <c r="H19" s="59">
        <f>H5*Assumptions!H106</f>
        <v>4438.5844693600002</v>
      </c>
      <c r="I19" s="59">
        <f>I5*Assumptions!I106</f>
        <v>6169.9625860159995</v>
      </c>
      <c r="J19" s="59">
        <f>J5*Assumptions!J106</f>
        <v>8379.4531000715197</v>
      </c>
      <c r="K19" s="59">
        <f>K5*Assumptions!K106</f>
        <v>10944.269068512096</v>
      </c>
      <c r="L19" s="59">
        <f>L5*Assumptions!L106</f>
        <v>13832.062396525122</v>
      </c>
      <c r="M19" s="59">
        <f>M5*Assumptions!M106</f>
        <v>17066.608356084398</v>
      </c>
      <c r="N19" s="59">
        <f>N5*Assumptions!N106</f>
        <v>20694.014574789206</v>
      </c>
      <c r="O19" s="59">
        <f>O5*Assumptions!O106</f>
        <v>24069.062566000586</v>
      </c>
    </row>
    <row r="20" spans="1:16" x14ac:dyDescent="0.25">
      <c r="A20" s="3" t="s">
        <v>411</v>
      </c>
      <c r="B20" t="s">
        <v>9</v>
      </c>
      <c r="D20" s="325">
        <f>D18+D19</f>
        <v>1291</v>
      </c>
      <c r="E20" s="325">
        <f>E18+E19</f>
        <v>1922</v>
      </c>
      <c r="F20" s="325">
        <f>F18+F19</f>
        <v>2935</v>
      </c>
      <c r="G20" s="325">
        <f>G18+G19</f>
        <v>4898</v>
      </c>
      <c r="H20" s="325">
        <f>H18+H19</f>
        <v>12673.268557031235</v>
      </c>
      <c r="I20" s="325">
        <f t="shared" ref="I20:O20" si="4">I18+I19</f>
        <v>17933.923936700932</v>
      </c>
      <c r="J20" s="325">
        <f t="shared" si="4"/>
        <v>24844.566789331795</v>
      </c>
      <c r="K20" s="325">
        <f t="shared" si="4"/>
        <v>32440.867233476478</v>
      </c>
      <c r="L20" s="325">
        <f t="shared" si="4"/>
        <v>40977.782897987046</v>
      </c>
      <c r="M20" s="325">
        <f t="shared" si="4"/>
        <v>50737.179138131083</v>
      </c>
      <c r="N20" s="325">
        <f t="shared" si="4"/>
        <v>61373.595539857648</v>
      </c>
      <c r="O20" s="325">
        <f t="shared" si="4"/>
        <v>71490.914387096418</v>
      </c>
    </row>
    <row r="21" spans="1:16" x14ac:dyDescent="0.25">
      <c r="H21" s="70"/>
      <c r="I21" s="70"/>
      <c r="J21" s="70"/>
      <c r="K21" s="70"/>
      <c r="L21" s="70"/>
      <c r="M21" s="70"/>
      <c r="N21" s="70"/>
      <c r="O21" s="70"/>
    </row>
    <row r="22" spans="1:16" x14ac:dyDescent="0.25">
      <c r="A22" s="10" t="s">
        <v>412</v>
      </c>
      <c r="H22" s="70"/>
      <c r="I22" s="70"/>
      <c r="J22" s="70"/>
      <c r="K22" s="70"/>
      <c r="L22" s="70"/>
      <c r="M22" s="70"/>
      <c r="N22" s="70"/>
      <c r="O22" s="70"/>
    </row>
    <row r="23" spans="1:16" x14ac:dyDescent="0.25">
      <c r="A23" t="s">
        <v>413</v>
      </c>
      <c r="B23" t="s">
        <v>9</v>
      </c>
      <c r="D23" s="325">
        <f>D15-D20</f>
        <v>4038</v>
      </c>
      <c r="E23" s="325">
        <f>E15-E20</f>
        <v>1525</v>
      </c>
      <c r="F23" s="325">
        <f>F15-F20</f>
        <v>4900</v>
      </c>
      <c r="G23" s="325">
        <f>G15-G20</f>
        <v>4188</v>
      </c>
      <c r="H23" s="325">
        <f>H15-H20</f>
        <v>8662.4075382317787</v>
      </c>
      <c r="I23" s="325">
        <f t="shared" ref="I23:O23" si="5">I15-I20</f>
        <v>11723.670111593859</v>
      </c>
      <c r="J23" s="325">
        <f t="shared" si="5"/>
        <v>13806.718879197339</v>
      </c>
      <c r="K23" s="325">
        <f t="shared" si="5"/>
        <v>18035.546597353365</v>
      </c>
      <c r="L23" s="325">
        <f t="shared" si="5"/>
        <v>22087.992330299028</v>
      </c>
      <c r="M23" s="325">
        <f t="shared" si="5"/>
        <v>27187.933979495872</v>
      </c>
      <c r="N23" s="325">
        <f t="shared" si="5"/>
        <v>33020.898740913297</v>
      </c>
      <c r="O23" s="325">
        <f t="shared" si="5"/>
        <v>38366.689200260327</v>
      </c>
    </row>
    <row r="24" spans="1:16" ht="30" x14ac:dyDescent="0.25">
      <c r="A24" t="s">
        <v>414</v>
      </c>
      <c r="B24" t="s">
        <v>9</v>
      </c>
      <c r="D24" s="18"/>
      <c r="E24" s="292">
        <f>E23-D23</f>
        <v>-2513</v>
      </c>
      <c r="F24" s="292">
        <f>F23-E23</f>
        <v>3375</v>
      </c>
      <c r="G24" s="292">
        <f>G23-F23</f>
        <v>-712</v>
      </c>
      <c r="H24" s="292">
        <f>H23-G23</f>
        <v>4474.4075382317787</v>
      </c>
      <c r="I24" s="292">
        <f t="shared" ref="I24:O24" si="6">I23-H23</f>
        <v>3061.2625733620807</v>
      </c>
      <c r="J24" s="292">
        <f t="shared" si="6"/>
        <v>2083.0487676034791</v>
      </c>
      <c r="K24" s="292">
        <f t="shared" si="6"/>
        <v>4228.8277181560261</v>
      </c>
      <c r="L24" s="292">
        <f t="shared" si="6"/>
        <v>4052.4457329456636</v>
      </c>
      <c r="M24" s="292">
        <f t="shared" si="6"/>
        <v>5099.9416491968441</v>
      </c>
      <c r="N24" s="292">
        <f t="shared" si="6"/>
        <v>5832.9647614174246</v>
      </c>
      <c r="O24" s="292">
        <f t="shared" si="6"/>
        <v>5345.7904593470303</v>
      </c>
      <c r="P24" s="128" t="s">
        <v>415</v>
      </c>
    </row>
    <row r="25" spans="1:16" x14ac:dyDescent="0.25">
      <c r="A25" t="s">
        <v>984</v>
      </c>
      <c r="B25" t="s">
        <v>13</v>
      </c>
      <c r="D25" s="60">
        <f>D23/D5</f>
        <v>0.57041955078400908</v>
      </c>
      <c r="E25" s="60">
        <f>E23/E5</f>
        <v>0.12588740300478785</v>
      </c>
      <c r="F25" s="60">
        <f>F23/F5</f>
        <v>0.24205898335226991</v>
      </c>
      <c r="G25" s="60">
        <f>G23/G5</f>
        <v>7.7036274004856159E-2</v>
      </c>
      <c r="H25" s="60">
        <f>H23/H5</f>
        <v>6.6354906239364103E-2</v>
      </c>
      <c r="I25" s="60">
        <f t="shared" ref="I25:O25" si="7">I23/I5</f>
        <v>6.4604084423074915E-2</v>
      </c>
      <c r="J25" s="60">
        <f t="shared" si="7"/>
        <v>5.6021369925526872E-2</v>
      </c>
      <c r="K25" s="60">
        <f t="shared" si="7"/>
        <v>5.6030108586628699E-2</v>
      </c>
      <c r="L25" s="60">
        <f t="shared" si="7"/>
        <v>5.4293547679399597E-2</v>
      </c>
      <c r="M25" s="60">
        <f t="shared" si="7"/>
        <v>5.4163647282226786E-2</v>
      </c>
      <c r="N25" s="60">
        <f t="shared" si="7"/>
        <v>5.4252912267627913E-2</v>
      </c>
      <c r="O25" s="60">
        <f t="shared" si="7"/>
        <v>5.4196852462858797E-2</v>
      </c>
    </row>
    <row r="26" spans="1:16" x14ac:dyDescent="0.25">
      <c r="H26" s="70"/>
      <c r="I26" s="70"/>
      <c r="J26" s="70"/>
      <c r="K26" s="70"/>
      <c r="L26" s="70"/>
      <c r="M26" s="70"/>
      <c r="N26" s="70"/>
      <c r="O26" s="70"/>
    </row>
    <row r="27" spans="1:16" x14ac:dyDescent="0.25">
      <c r="A27" s="8" t="s">
        <v>440</v>
      </c>
      <c r="H27" s="70"/>
      <c r="I27" s="70"/>
      <c r="J27" s="70"/>
      <c r="K27" s="70"/>
      <c r="L27" s="70"/>
      <c r="M27" s="70"/>
      <c r="N27" s="70"/>
      <c r="O27" s="70"/>
    </row>
    <row r="28" spans="1:16" x14ac:dyDescent="0.25">
      <c r="A28" t="s">
        <v>441</v>
      </c>
      <c r="B28" t="s">
        <v>341</v>
      </c>
      <c r="D28" s="341">
        <f>IFERROR(D13/D6*365,"")</f>
        <v>21.716845878136201</v>
      </c>
      <c r="E28" s="341">
        <f>IFERROR(E13/E6*365,"")</f>
        <v>11.145038167938932</v>
      </c>
      <c r="F28" s="341">
        <f>IFERROR(F13/F6*365,"")</f>
        <v>11.543575920934412</v>
      </c>
      <c r="G28" s="341">
        <f>IFERROR(G13/G6*365,"")</f>
        <v>26.388603440845959</v>
      </c>
      <c r="H28" s="341">
        <f>H13/H6*365</f>
        <v>26</v>
      </c>
      <c r="I28" s="341">
        <f t="shared" ref="I28:O28" si="8">I13/I6*365</f>
        <v>26</v>
      </c>
      <c r="J28" s="341">
        <f t="shared" si="8"/>
        <v>25</v>
      </c>
      <c r="K28" s="341">
        <f t="shared" si="8"/>
        <v>25</v>
      </c>
      <c r="L28" s="341">
        <f t="shared" si="8"/>
        <v>23.999999999999996</v>
      </c>
      <c r="M28" s="341">
        <f t="shared" si="8"/>
        <v>23.999999999999996</v>
      </c>
      <c r="N28" s="341">
        <f t="shared" si="8"/>
        <v>23.999999999999996</v>
      </c>
      <c r="O28" s="341">
        <f t="shared" si="8"/>
        <v>24.000000000000004</v>
      </c>
    </row>
    <row r="29" spans="1:16" x14ac:dyDescent="0.25">
      <c r="A29" t="s">
        <v>442</v>
      </c>
      <c r="B29" t="s">
        <v>341</v>
      </c>
      <c r="D29" s="341">
        <f>D12/D5*365</f>
        <v>23.563356406272071</v>
      </c>
      <c r="E29" s="341">
        <f>E12/E5*365</f>
        <v>23.923559517913159</v>
      </c>
      <c r="F29" s="341">
        <f>F12/F5*365</f>
        <v>35.088178629649761</v>
      </c>
      <c r="G29" s="341">
        <f>G12/G5*365</f>
        <v>11.843499374586123</v>
      </c>
      <c r="H29" s="341">
        <f>H12/H5*365</f>
        <v>12.000000000000002</v>
      </c>
      <c r="I29" s="341">
        <f t="shared" ref="I29:O29" si="9">I12/I5*365</f>
        <v>12.000000000000002</v>
      </c>
      <c r="J29" s="341">
        <f t="shared" si="9"/>
        <v>12.000000000000002</v>
      </c>
      <c r="K29" s="341">
        <f t="shared" si="9"/>
        <v>12.000000000000002</v>
      </c>
      <c r="L29" s="341">
        <f t="shared" si="9"/>
        <v>11.999999999999998</v>
      </c>
      <c r="M29" s="341">
        <f t="shared" si="9"/>
        <v>12.000000000000002</v>
      </c>
      <c r="N29" s="341">
        <f t="shared" si="9"/>
        <v>11.999999999999998</v>
      </c>
      <c r="O29" s="341">
        <f t="shared" si="9"/>
        <v>11.999999999999998</v>
      </c>
    </row>
    <row r="30" spans="1:16" x14ac:dyDescent="0.25">
      <c r="A30" t="s">
        <v>443</v>
      </c>
      <c r="B30" t="s">
        <v>341</v>
      </c>
      <c r="D30" s="341">
        <f>IFERROR(-D18/D6*365,"")</f>
        <v>-177.65949820788529</v>
      </c>
      <c r="E30" s="341">
        <f>IFERROR(-E18/E6*365,"")</f>
        <v>-112.21027064538515</v>
      </c>
      <c r="F30" s="341">
        <f>IFERROR(-F18/F6*365,"")</f>
        <v>-100.74393530997305</v>
      </c>
      <c r="G30" s="341">
        <f>IFERROR(-G18/G6*365,"")</f>
        <v>-36.418934597407763</v>
      </c>
      <c r="H30" s="341">
        <f>-H18/H6*365</f>
        <v>-36.000000000000007</v>
      </c>
      <c r="I30" s="341">
        <f t="shared" ref="I30:O30" si="10">-I18/I6*365</f>
        <v>-37</v>
      </c>
      <c r="J30" s="341">
        <f t="shared" si="10"/>
        <v>-38.000000000000007</v>
      </c>
      <c r="K30" s="341">
        <f t="shared" si="10"/>
        <v>-38</v>
      </c>
      <c r="L30" s="341">
        <f t="shared" si="10"/>
        <v>-37.999999999999993</v>
      </c>
      <c r="M30" s="341">
        <f t="shared" si="10"/>
        <v>-38</v>
      </c>
      <c r="N30" s="341">
        <f t="shared" si="10"/>
        <v>-38</v>
      </c>
      <c r="O30" s="341">
        <f t="shared" si="10"/>
        <v>-38</v>
      </c>
    </row>
    <row r="31" spans="1:16" x14ac:dyDescent="0.25">
      <c r="A31" s="3" t="s">
        <v>444</v>
      </c>
      <c r="B31" t="s">
        <v>341</v>
      </c>
      <c r="D31" s="343">
        <f>IFERROR(D28+D29+D30,"")</f>
        <v>-132.379295923477</v>
      </c>
      <c r="E31" s="343">
        <f>IFERROR(E28+E29+E30,"")</f>
        <v>-77.141672959533054</v>
      </c>
      <c r="F31" s="343">
        <f>IFERROR(F28+F29+F30,"")</f>
        <v>-54.112180759388878</v>
      </c>
      <c r="G31" s="343">
        <f>IFERROR(G28+G29+G30,"")</f>
        <v>1.8131682180243232</v>
      </c>
      <c r="H31" s="343">
        <f>H28+H29+H30</f>
        <v>1.9999999999999929</v>
      </c>
      <c r="I31" s="343">
        <f t="shared" ref="I31:O31" si="11">I28+I29+I30</f>
        <v>1</v>
      </c>
      <c r="J31" s="343">
        <f t="shared" si="11"/>
        <v>-1.0000000000000071</v>
      </c>
      <c r="K31" s="343">
        <f t="shared" si="11"/>
        <v>-1</v>
      </c>
      <c r="L31" s="343">
        <f t="shared" si="11"/>
        <v>-2</v>
      </c>
      <c r="M31" s="343">
        <f t="shared" si="11"/>
        <v>-2</v>
      </c>
      <c r="N31" s="343">
        <f t="shared" si="11"/>
        <v>-2.0000000000000071</v>
      </c>
      <c r="O31" s="343">
        <f t="shared" si="11"/>
        <v>-2</v>
      </c>
    </row>
    <row r="33" spans="1:1" x14ac:dyDescent="0.25">
      <c r="A33" s="8" t="s">
        <v>375</v>
      </c>
    </row>
    <row r="34" spans="1:1" x14ac:dyDescent="0.25">
      <c r="A34" t="s">
        <v>445</v>
      </c>
    </row>
    <row r="35" spans="1:1" x14ac:dyDescent="0.25">
      <c r="A35" t="s">
        <v>1409</v>
      </c>
    </row>
    <row r="36" spans="1:1" x14ac:dyDescent="0.25">
      <c r="A36" t="s">
        <v>1410</v>
      </c>
    </row>
    <row r="37" spans="1:1" x14ac:dyDescent="0.25">
      <c r="A37" t="str">
        <f>"FY2027E free cash flow (CFO − capex, CFS row 35) is "&amp;TEXT(CFS!H35,"#,##0")&amp;" Cr on reported EBITDA of "&amp;TEXT(IS!H16,"#,##0")&amp;" Cr."</f>
        <v>FY2027E free cash flow (CFO − capex, CFS row 35) is -12,116 Cr on reported EBITDA of -5,291 Cr.</v>
      </c>
    </row>
    <row r="38" spans="1:1" x14ac:dyDescent="0.25">
      <c r="A38" t="s">
        <v>1411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E08B7-FDC1-40BA-8F27-CBBC8CE9684E}">
  <dimension ref="A1:P23"/>
  <sheetViews>
    <sheetView zoomScale="70" zoomScaleNormal="70" workbookViewId="0">
      <pane xSplit="2" topLeftCell="C1" activePane="topRight" state="frozen"/>
      <selection pane="topRight" activeCell="F22" sqref="F22"/>
    </sheetView>
  </sheetViews>
  <sheetFormatPr defaultRowHeight="15" x14ac:dyDescent="0.25"/>
  <cols>
    <col min="1" max="1" width="50.85546875" customWidth="1"/>
    <col min="2" max="2" width="9.42578125" customWidth="1"/>
    <col min="3" max="3" width="2.5703125" customWidth="1"/>
    <col min="4" max="15" width="13.140625" customWidth="1"/>
    <col min="16" max="16" width="47.28515625" customWidth="1"/>
  </cols>
  <sheetData>
    <row r="1" spans="1:16" ht="18.75" x14ac:dyDescent="0.3">
      <c r="A1" s="5" t="s">
        <v>803</v>
      </c>
      <c r="P1" s="344" t="str">
        <f>Data_Sources!$D$4&amp;" | "&amp;Data_Sources!$E$4&amp;" | "&amp;Data_Sources!$F$4</f>
        <v>Eternal Q4FY26 audited consolidated financial results | Statement of consolidated financial results, line II | https://b.zmtcdn.com/investor-relations/Eternal_Shareholders_Letter_Q4FY26_Results.pdf</v>
      </c>
    </row>
    <row r="2" spans="1:16" x14ac:dyDescent="0.25">
      <c r="A2" s="3" t="s">
        <v>75</v>
      </c>
      <c r="B2" s="3" t="s">
        <v>5</v>
      </c>
      <c r="C2" s="3"/>
      <c r="D2" s="3" t="s">
        <v>678</v>
      </c>
      <c r="E2" s="3" t="s">
        <v>679</v>
      </c>
      <c r="F2" s="3" t="s">
        <v>23</v>
      </c>
      <c r="G2" s="3" t="s">
        <v>6</v>
      </c>
      <c r="H2" s="3" t="s">
        <v>24</v>
      </c>
      <c r="I2" s="3" t="s">
        <v>25</v>
      </c>
      <c r="J2" s="3" t="s">
        <v>26</v>
      </c>
      <c r="K2" s="3" t="s">
        <v>27</v>
      </c>
      <c r="L2" s="3" t="s">
        <v>28</v>
      </c>
      <c r="M2" s="3" t="s">
        <v>29</v>
      </c>
      <c r="N2" s="3" t="s">
        <v>30</v>
      </c>
      <c r="O2" s="3" t="s">
        <v>7</v>
      </c>
      <c r="P2" s="179"/>
    </row>
    <row r="3" spans="1:16" x14ac:dyDescent="0.25">
      <c r="P3" s="179"/>
    </row>
    <row r="4" spans="1:16" x14ac:dyDescent="0.25">
      <c r="A4" s="167" t="s">
        <v>804</v>
      </c>
      <c r="B4" s="3"/>
      <c r="C4" s="3"/>
      <c r="D4" s="3"/>
      <c r="E4" s="3"/>
      <c r="F4" s="3"/>
      <c r="G4" s="3"/>
      <c r="H4" s="3"/>
      <c r="I4" s="3"/>
      <c r="J4" s="3"/>
      <c r="K4" s="3"/>
      <c r="L4" s="3"/>
      <c r="M4" s="3"/>
      <c r="N4" s="3"/>
      <c r="O4" s="3"/>
      <c r="P4" s="179"/>
    </row>
    <row r="5" spans="1:16" x14ac:dyDescent="0.25">
      <c r="A5" t="s">
        <v>778</v>
      </c>
      <c r="B5" t="s">
        <v>9</v>
      </c>
      <c r="D5" s="190" t="str">
        <f>IF(CFS!D31="","",CFS!D31)</f>
        <v/>
      </c>
      <c r="E5" s="190">
        <f>IF(CFS!E31="","",CFS!E31)</f>
        <v>11323</v>
      </c>
      <c r="F5" s="190">
        <f>IF(CFS!F31="","",CFS!F31)</f>
        <v>12241</v>
      </c>
      <c r="G5" s="190">
        <f>IF(CFS!G31="","",CFS!G31)</f>
        <v>16806</v>
      </c>
      <c r="H5" s="190">
        <f>IF(CFS!H31="","",CFS!H31)</f>
        <v>17972</v>
      </c>
      <c r="I5" s="190">
        <f>IF(CFS!I31="","",CFS!I31)</f>
        <v>5637.6314996277106</v>
      </c>
      <c r="J5" s="190">
        <f>IF(CFS!J31="","",CFS!J31)</f>
        <v>-5378.6029198204778</v>
      </c>
      <c r="K5" s="190">
        <f>IF(CFS!K31="","",CFS!K31)</f>
        <v>-13796.349870111462</v>
      </c>
      <c r="L5" s="190">
        <f>IF(CFS!L31="","",CFS!L31)</f>
        <v>-20244.157370039047</v>
      </c>
      <c r="M5" s="190">
        <f>IF(CFS!M31="","",CFS!M31)</f>
        <v>-19467.867415751913</v>
      </c>
      <c r="N5" s="190">
        <f>IF(CFS!N31="","",CFS!N31)</f>
        <v>-10789.257090174626</v>
      </c>
      <c r="O5" s="190">
        <f>IF(CFS!O31="","",CFS!O31)</f>
        <v>6940.2003192723387</v>
      </c>
      <c r="P5" s="179"/>
    </row>
    <row r="6" spans="1:16" x14ac:dyDescent="0.25">
      <c r="A6" t="s">
        <v>805</v>
      </c>
      <c r="B6" t="s">
        <v>9</v>
      </c>
      <c r="D6" s="190">
        <f>CFS!D32</f>
        <v>11323</v>
      </c>
      <c r="E6" s="190">
        <f>CFS!E32</f>
        <v>12241</v>
      </c>
      <c r="F6" s="190">
        <f>CFS!F32</f>
        <v>16806</v>
      </c>
      <c r="G6" s="190">
        <f>CFS!G32</f>
        <v>17972</v>
      </c>
      <c r="H6" s="190">
        <f>CFS!H32</f>
        <v>5637.6314996277106</v>
      </c>
      <c r="I6" s="190">
        <f>CFS!I32</f>
        <v>-5378.6029198204778</v>
      </c>
      <c r="J6" s="190">
        <f>CFS!J32</f>
        <v>-13796.349870111462</v>
      </c>
      <c r="K6" s="190">
        <f>CFS!K32</f>
        <v>-20244.157370039047</v>
      </c>
      <c r="L6" s="190">
        <f>CFS!L32</f>
        <v>-19467.867415751913</v>
      </c>
      <c r="M6" s="190">
        <f>CFS!M32</f>
        <v>-10789.257090174626</v>
      </c>
      <c r="N6" s="190">
        <f>CFS!N32</f>
        <v>6940.2003192723387</v>
      </c>
      <c r="O6" s="190">
        <f>CFS!O32</f>
        <v>31344.969653383301</v>
      </c>
      <c r="P6" s="179"/>
    </row>
    <row r="7" spans="1:16" x14ac:dyDescent="0.25">
      <c r="A7" t="s">
        <v>806</v>
      </c>
      <c r="B7" t="s">
        <v>9</v>
      </c>
      <c r="D7" s="151">
        <f t="shared" ref="D7:O7" si="0">IF(D5="",D6,AVERAGE(D5,D6))</f>
        <v>11323</v>
      </c>
      <c r="E7" s="151">
        <f t="shared" si="0"/>
        <v>11782</v>
      </c>
      <c r="F7" s="151">
        <f t="shared" si="0"/>
        <v>14523.5</v>
      </c>
      <c r="G7" s="151">
        <f t="shared" si="0"/>
        <v>17389</v>
      </c>
      <c r="H7" s="151">
        <f t="shared" si="0"/>
        <v>11804.815749813855</v>
      </c>
      <c r="I7" s="151">
        <f t="shared" si="0"/>
        <v>129.51428990361637</v>
      </c>
      <c r="J7" s="151">
        <f t="shared" si="0"/>
        <v>-9587.47639496597</v>
      </c>
      <c r="K7" s="151">
        <f t="shared" si="0"/>
        <v>-17020.253620075255</v>
      </c>
      <c r="L7" s="151">
        <f t="shared" si="0"/>
        <v>-19856.012392895478</v>
      </c>
      <c r="M7" s="151">
        <f t="shared" si="0"/>
        <v>-15128.562252963269</v>
      </c>
      <c r="N7" s="151">
        <f t="shared" si="0"/>
        <v>-1924.5283854511435</v>
      </c>
      <c r="O7" s="151">
        <f t="shared" si="0"/>
        <v>19142.58498632782</v>
      </c>
      <c r="P7" s="179"/>
    </row>
    <row r="8" spans="1:16" x14ac:dyDescent="0.25">
      <c r="H8" s="169"/>
      <c r="I8" s="169"/>
      <c r="J8" s="169"/>
      <c r="K8" s="169"/>
      <c r="L8" s="169"/>
      <c r="M8" s="169"/>
      <c r="N8" s="169"/>
      <c r="O8" s="169"/>
      <c r="P8" s="179"/>
    </row>
    <row r="9" spans="1:16" x14ac:dyDescent="0.25">
      <c r="A9" s="167" t="s">
        <v>807</v>
      </c>
      <c r="B9" s="3"/>
      <c r="C9" s="3"/>
      <c r="D9" s="3"/>
      <c r="E9" s="3"/>
      <c r="F9" s="3"/>
      <c r="G9" s="3"/>
      <c r="H9" s="170"/>
      <c r="I9" s="170"/>
      <c r="J9" s="170"/>
      <c r="K9" s="170"/>
      <c r="L9" s="170"/>
      <c r="M9" s="170"/>
      <c r="N9" s="170"/>
      <c r="O9" s="170"/>
      <c r="P9" s="179"/>
    </row>
    <row r="10" spans="1:16" x14ac:dyDescent="0.25">
      <c r="A10" t="s">
        <v>808</v>
      </c>
      <c r="B10" t="s">
        <v>13</v>
      </c>
      <c r="D10" s="67">
        <f>Assumptions!D90</f>
        <v>0</v>
      </c>
      <c r="E10" s="67">
        <f>Assumptions!E90</f>
        <v>7.4803497306367567E-2</v>
      </c>
      <c r="F10" s="67">
        <f>Assumptions!F90</f>
        <v>8.7983007924189199E-2</v>
      </c>
      <c r="G10" s="67">
        <f>Assumptions!G90</f>
        <v>8.3065571819588249E-2</v>
      </c>
      <c r="H10" s="67">
        <f>Assumptions!H90</f>
        <v>6.5000000000000002E-2</v>
      </c>
      <c r="I10" s="67">
        <f>Assumptions!I90</f>
        <v>6.5000000000000002E-2</v>
      </c>
      <c r="J10" s="67">
        <f>Assumptions!J90</f>
        <v>6.5000000000000002E-2</v>
      </c>
      <c r="K10" s="67">
        <f>Assumptions!K90</f>
        <v>6.5000000000000002E-2</v>
      </c>
      <c r="L10" s="67">
        <f>Assumptions!L90</f>
        <v>6.5000000000000002E-2</v>
      </c>
      <c r="M10" s="67">
        <f>Assumptions!M90</f>
        <v>6.5000000000000002E-2</v>
      </c>
      <c r="N10" s="67">
        <f>Assumptions!N90</f>
        <v>6.5000000000000002E-2</v>
      </c>
      <c r="O10" s="67">
        <f>Assumptions!O90</f>
        <v>6.5000000000000002E-2</v>
      </c>
      <c r="P10" s="179"/>
    </row>
    <row r="11" spans="1:16" x14ac:dyDescent="0.25">
      <c r="D11" s="123"/>
      <c r="E11" s="123"/>
      <c r="F11" s="123"/>
      <c r="G11" s="123"/>
      <c r="H11" s="172"/>
      <c r="I11" s="172"/>
      <c r="J11" s="172"/>
      <c r="K11" s="172"/>
      <c r="L11" s="172"/>
      <c r="M11" s="172"/>
      <c r="N11" s="172"/>
      <c r="O11" s="172"/>
      <c r="P11" s="179"/>
    </row>
    <row r="12" spans="1:16" x14ac:dyDescent="0.25">
      <c r="A12" s="3" t="s">
        <v>809</v>
      </c>
      <c r="B12" s="3" t="s">
        <v>9</v>
      </c>
      <c r="C12" s="3"/>
      <c r="D12" s="345">
        <v>682</v>
      </c>
      <c r="E12" s="345">
        <v>847</v>
      </c>
      <c r="F12" s="345">
        <v>1077</v>
      </c>
      <c r="G12" s="345">
        <v>1396</v>
      </c>
      <c r="H12" s="335">
        <f>H10*CFS!G32</f>
        <v>1168.18</v>
      </c>
      <c r="I12" s="335">
        <f>I10*CFS!H32</f>
        <v>366.44604747580121</v>
      </c>
      <c r="J12" s="335">
        <f>J10*CFS!I32</f>
        <v>-349.60918978833109</v>
      </c>
      <c r="K12" s="335">
        <f>K10*CFS!J32</f>
        <v>-896.76274155724502</v>
      </c>
      <c r="L12" s="335">
        <f>L10*CFS!K32</f>
        <v>-1315.8702290525382</v>
      </c>
      <c r="M12" s="335">
        <f>M10*CFS!L32</f>
        <v>-1265.4113820238745</v>
      </c>
      <c r="N12" s="335">
        <f>N10*CFS!M32</f>
        <v>-701.30171086135067</v>
      </c>
      <c r="O12" s="335">
        <f>O10*CFS!N32</f>
        <v>451.11302075270203</v>
      </c>
      <c r="P12" s="179"/>
    </row>
    <row r="13" spans="1:16" x14ac:dyDescent="0.25">
      <c r="A13" t="s">
        <v>810</v>
      </c>
      <c r="B13" t="s">
        <v>9</v>
      </c>
      <c r="D13" s="151">
        <f t="shared" ref="D13:G13" si="1">IFERROR(D12*0.75,"")</f>
        <v>511.5</v>
      </c>
      <c r="E13" s="151">
        <f t="shared" si="1"/>
        <v>635.25</v>
      </c>
      <c r="F13" s="151">
        <f t="shared" si="1"/>
        <v>807.75</v>
      </c>
      <c r="G13" s="151">
        <f t="shared" si="1"/>
        <v>1047</v>
      </c>
      <c r="H13" s="151">
        <f>IFERROR(H12*0.75,"")</f>
        <v>876.13499999999999</v>
      </c>
      <c r="I13" s="151">
        <f>IFERROR(I12*0.75,"")</f>
        <v>274.83453560685092</v>
      </c>
      <c r="J13" s="151">
        <f t="shared" ref="J13" si="2">IFERROR(J12*0.75,"")</f>
        <v>-262.20689234124831</v>
      </c>
      <c r="K13" s="151">
        <f t="shared" ref="K13" si="3">IFERROR(K12*0.75,"")</f>
        <v>-672.57205616793374</v>
      </c>
      <c r="L13" s="151">
        <f t="shared" ref="L13" si="4">IFERROR(L12*0.75,"")</f>
        <v>-986.90267178940371</v>
      </c>
      <c r="M13" s="151">
        <f t="shared" ref="M13" si="5">IFERROR(M12*0.75,"")</f>
        <v>-949.05853651790585</v>
      </c>
      <c r="N13" s="151">
        <f t="shared" ref="N13" si="6">IFERROR(N12*0.75,"")</f>
        <v>-525.97628314601297</v>
      </c>
      <c r="O13" s="151">
        <f t="shared" ref="O13" si="7">IFERROR(O12*0.75,"")</f>
        <v>338.33476556452649</v>
      </c>
      <c r="P13" s="179"/>
    </row>
    <row r="14" spans="1:16" x14ac:dyDescent="0.25">
      <c r="A14" t="s">
        <v>811</v>
      </c>
      <c r="B14" t="s">
        <v>9</v>
      </c>
      <c r="D14" s="151">
        <f t="shared" ref="D14:O14" si="8">IFERROR(D12-D13,"")</f>
        <v>170.5</v>
      </c>
      <c r="E14" s="151">
        <f t="shared" si="8"/>
        <v>211.75</v>
      </c>
      <c r="F14" s="151">
        <f t="shared" si="8"/>
        <v>269.25</v>
      </c>
      <c r="G14" s="151">
        <f t="shared" si="8"/>
        <v>349</v>
      </c>
      <c r="H14" s="151">
        <f t="shared" si="8"/>
        <v>292.04500000000007</v>
      </c>
      <c r="I14" s="151">
        <f t="shared" si="8"/>
        <v>91.611511868950288</v>
      </c>
      <c r="J14" s="151">
        <f t="shared" si="8"/>
        <v>-87.402297447082788</v>
      </c>
      <c r="K14" s="151">
        <f t="shared" si="8"/>
        <v>-224.19068538931128</v>
      </c>
      <c r="L14" s="151">
        <f t="shared" si="8"/>
        <v>-328.96755726313449</v>
      </c>
      <c r="M14" s="151">
        <f>IFERROR(M12-M13,"")</f>
        <v>-316.35284550596862</v>
      </c>
      <c r="N14" s="151">
        <f t="shared" si="8"/>
        <v>-175.3254277153377</v>
      </c>
      <c r="O14" s="151">
        <f t="shared" si="8"/>
        <v>112.77825518817554</v>
      </c>
      <c r="P14" s="179"/>
    </row>
    <row r="15" spans="1:16" x14ac:dyDescent="0.25">
      <c r="H15" s="169"/>
      <c r="I15" s="169"/>
      <c r="J15" s="169"/>
      <c r="K15" s="169"/>
      <c r="L15" s="169"/>
      <c r="M15" s="169"/>
      <c r="N15" s="169"/>
      <c r="O15" s="169"/>
      <c r="P15" s="179"/>
    </row>
    <row r="16" spans="1:16" x14ac:dyDescent="0.25">
      <c r="A16" s="167" t="s">
        <v>812</v>
      </c>
      <c r="B16" s="3"/>
      <c r="C16" s="3"/>
      <c r="D16" s="3"/>
      <c r="E16" s="3"/>
      <c r="F16" s="3"/>
      <c r="G16" s="3"/>
      <c r="H16" s="170"/>
      <c r="I16" s="170"/>
      <c r="J16" s="170"/>
      <c r="K16" s="170"/>
      <c r="L16" s="170"/>
      <c r="M16" s="170"/>
      <c r="N16" s="170"/>
      <c r="O16" s="170"/>
      <c r="P16" s="179"/>
    </row>
    <row r="17" spans="1:16" x14ac:dyDescent="0.25">
      <c r="A17" t="s">
        <v>813</v>
      </c>
      <c r="B17" t="s">
        <v>9</v>
      </c>
      <c r="D17" s="65"/>
      <c r="E17" s="93">
        <v>618</v>
      </c>
      <c r="F17" s="93">
        <v>820</v>
      </c>
      <c r="G17" s="93">
        <v>953</v>
      </c>
      <c r="H17" s="151">
        <f t="shared" ref="H17:O17" si="9">H12</f>
        <v>1168.18</v>
      </c>
      <c r="I17" s="151">
        <f t="shared" si="9"/>
        <v>366.44604747580121</v>
      </c>
      <c r="J17" s="151">
        <f t="shared" si="9"/>
        <v>-349.60918978833109</v>
      </c>
      <c r="K17" s="151">
        <f t="shared" si="9"/>
        <v>-896.76274155724502</v>
      </c>
      <c r="L17" s="151">
        <f t="shared" si="9"/>
        <v>-1315.8702290525382</v>
      </c>
      <c r="M17" s="151">
        <f t="shared" si="9"/>
        <v>-1265.4113820238745</v>
      </c>
      <c r="N17" s="151">
        <f t="shared" si="9"/>
        <v>-701.30171086135067</v>
      </c>
      <c r="O17" s="151">
        <f t="shared" si="9"/>
        <v>451.11302075270203</v>
      </c>
      <c r="P17" s="179"/>
    </row>
    <row r="18" spans="1:16" x14ac:dyDescent="0.25">
      <c r="A18" t="s">
        <v>814</v>
      </c>
      <c r="B18" t="s">
        <v>9</v>
      </c>
      <c r="D18" s="151">
        <f t="shared" ref="D18:O18" si="10">IFERROR(D12-D17,"")</f>
        <v>682</v>
      </c>
      <c r="E18" s="151">
        <f t="shared" si="10"/>
        <v>229</v>
      </c>
      <c r="F18" s="151">
        <f t="shared" si="10"/>
        <v>257</v>
      </c>
      <c r="G18" s="151">
        <f t="shared" si="10"/>
        <v>443</v>
      </c>
      <c r="H18" s="151">
        <f t="shared" si="10"/>
        <v>0</v>
      </c>
      <c r="I18" s="151">
        <f t="shared" si="10"/>
        <v>0</v>
      </c>
      <c r="J18" s="151">
        <f t="shared" si="10"/>
        <v>0</v>
      </c>
      <c r="K18" s="151">
        <f t="shared" si="10"/>
        <v>0</v>
      </c>
      <c r="L18" s="151">
        <f t="shared" si="10"/>
        <v>0</v>
      </c>
      <c r="M18" s="151">
        <f t="shared" si="10"/>
        <v>0</v>
      </c>
      <c r="N18" s="151">
        <f t="shared" si="10"/>
        <v>0</v>
      </c>
      <c r="O18" s="151">
        <f t="shared" si="10"/>
        <v>0</v>
      </c>
      <c r="P18" s="179"/>
    </row>
    <row r="19" spans="1:16" x14ac:dyDescent="0.25">
      <c r="A19" t="s">
        <v>815</v>
      </c>
      <c r="B19" t="s">
        <v>13</v>
      </c>
      <c r="D19" s="66">
        <f t="shared" ref="D19:O19" si="11">IFERROR(D12/D7,"")</f>
        <v>6.0231387441490772E-2</v>
      </c>
      <c r="E19" s="66">
        <f t="shared" si="11"/>
        <v>7.1889322695637414E-2</v>
      </c>
      <c r="F19" s="66">
        <f t="shared" si="11"/>
        <v>7.4155678727579444E-2</v>
      </c>
      <c r="G19" s="66">
        <f t="shared" si="11"/>
        <v>8.0280637184426934E-2</v>
      </c>
      <c r="H19" s="66">
        <f t="shared" si="11"/>
        <v>9.8957918933924957E-2</v>
      </c>
      <c r="I19" s="66">
        <f t="shared" si="11"/>
        <v>2.8293869946591053</v>
      </c>
      <c r="J19" s="66">
        <f t="shared" si="11"/>
        <v>3.6465194320780596E-2</v>
      </c>
      <c r="K19" s="66">
        <f t="shared" si="11"/>
        <v>5.2687977604488831E-2</v>
      </c>
      <c r="L19" s="66">
        <f t="shared" si="11"/>
        <v>6.6270618844061518E-2</v>
      </c>
      <c r="M19" s="66">
        <f t="shared" si="11"/>
        <v>8.364386257365701E-2</v>
      </c>
      <c r="N19" s="66">
        <f t="shared" si="11"/>
        <v>0.36440185354655247</v>
      </c>
      <c r="O19" s="66">
        <f t="shared" si="11"/>
        <v>2.356594060179959E-2</v>
      </c>
      <c r="P19" s="179"/>
    </row>
    <row r="20" spans="1:16" x14ac:dyDescent="0.25">
      <c r="D20" s="80"/>
      <c r="E20" s="80"/>
      <c r="F20" s="80"/>
      <c r="G20" s="80"/>
      <c r="H20" s="169"/>
      <c r="I20" s="169"/>
      <c r="J20" s="169"/>
      <c r="K20" s="169"/>
      <c r="L20" s="169"/>
      <c r="M20" s="169"/>
      <c r="N20" s="169"/>
      <c r="O20" s="169"/>
      <c r="P20" s="179"/>
    </row>
    <row r="21" spans="1:16" x14ac:dyDescent="0.25">
      <c r="A21" s="167" t="s">
        <v>816</v>
      </c>
      <c r="B21" s="3"/>
      <c r="C21" s="3"/>
      <c r="D21" s="91"/>
      <c r="E21" s="91"/>
      <c r="F21" s="91"/>
      <c r="G21" s="91"/>
      <c r="H21" s="170"/>
      <c r="I21" s="170"/>
      <c r="J21" s="170"/>
      <c r="K21" s="170"/>
      <c r="L21" s="170"/>
      <c r="M21" s="170"/>
      <c r="N21" s="170"/>
      <c r="O21" s="170"/>
      <c r="P21" s="179"/>
    </row>
    <row r="22" spans="1:16" x14ac:dyDescent="0.25">
      <c r="A22" s="2" t="s">
        <v>817</v>
      </c>
      <c r="B22" s="2" t="s">
        <v>9</v>
      </c>
      <c r="C22" s="2"/>
      <c r="D22" s="346">
        <f>IFERROR(ROUND(D12-IS!D23,6),"")</f>
        <v>0</v>
      </c>
      <c r="E22" s="346">
        <f>IFERROR(ROUND(E12-IS!E23,6),"")</f>
        <v>0</v>
      </c>
      <c r="F22" s="346">
        <f>IFERROR(ROUND(F12-IS!F23,6),"")</f>
        <v>0</v>
      </c>
      <c r="G22" s="346">
        <f>IFERROR(ROUND(G12-IS!G23,6),"")</f>
        <v>0</v>
      </c>
      <c r="H22" s="346">
        <f>IFERROR(ROUND(H12-IS!H23,6),"")</f>
        <v>0</v>
      </c>
      <c r="I22" s="346">
        <f>IFERROR(ROUND(I12-IS!I23,6),"")</f>
        <v>0</v>
      </c>
      <c r="J22" s="346">
        <f>IFERROR(ROUND(J12-IS!J23,6),"")</f>
        <v>0</v>
      </c>
      <c r="K22" s="346">
        <f>IFERROR(ROUND(K12-IS!K23,6),"")</f>
        <v>0</v>
      </c>
      <c r="L22" s="346">
        <f>IFERROR(ROUND(L12-IS!L23,6),"")</f>
        <v>0</v>
      </c>
      <c r="M22" s="346">
        <f>IFERROR(ROUND(M12-IS!M23,6),"")</f>
        <v>0</v>
      </c>
      <c r="N22" s="346">
        <f>IFERROR(ROUND(N12-IS!N23,6),"")</f>
        <v>0</v>
      </c>
      <c r="O22" s="346">
        <f>IFERROR(ROUND(O12-IS!O23,6),"")</f>
        <v>0</v>
      </c>
      <c r="P22" s="179"/>
    </row>
    <row r="23" spans="1:16" x14ac:dyDescent="0.25">
      <c r="A23" s="2" t="s">
        <v>818</v>
      </c>
      <c r="B23" s="2" t="s">
        <v>9</v>
      </c>
      <c r="C23" s="2"/>
      <c r="D23" s="346">
        <f>IFERROR(ROUND(D17-CFS!D20,6),"")</f>
        <v>0</v>
      </c>
      <c r="E23" s="346">
        <f>IFERROR(ROUND(E17-CFS!E20,6),"")</f>
        <v>0</v>
      </c>
      <c r="F23" s="346">
        <f>IFERROR(ROUND(F17-CFS!F20,6),"")</f>
        <v>0</v>
      </c>
      <c r="G23" s="346">
        <f>IFERROR(ROUND(G17-CFS!G20,6),"")</f>
        <v>0</v>
      </c>
      <c r="H23" s="346">
        <f>IFERROR(ROUND(H17-CFS!H20,6),"")</f>
        <v>0</v>
      </c>
      <c r="I23" s="346">
        <f>IFERROR(ROUND(I17-CFS!I20,6),"")</f>
        <v>0</v>
      </c>
      <c r="J23" s="346">
        <f>IFERROR(ROUND(J17-CFS!J20,6),"")</f>
        <v>0</v>
      </c>
      <c r="K23" s="346">
        <f>IFERROR(ROUND(K17-CFS!K20,6),"")</f>
        <v>0</v>
      </c>
      <c r="L23" s="346">
        <f>IFERROR(ROUND(L17-CFS!L20,6),"")</f>
        <v>0</v>
      </c>
      <c r="M23" s="346">
        <f>IFERROR(ROUND(M17-CFS!M20,6),"")</f>
        <v>0</v>
      </c>
      <c r="N23" s="346">
        <f>IFERROR(ROUND(N17-CFS!N20,6),"")</f>
        <v>0</v>
      </c>
      <c r="O23" s="346">
        <f>IFERROR(ROUND(O17-CFS!O20,6),"")</f>
        <v>0</v>
      </c>
      <c r="P23" s="17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9C01-D1CA-4AA7-94BB-77516131BE55}">
  <dimension ref="A1:P22"/>
  <sheetViews>
    <sheetView zoomScale="60" zoomScaleNormal="60" workbookViewId="0">
      <pane xSplit="2" topLeftCell="C1" activePane="topRight" state="frozen"/>
      <selection pane="topRight" activeCell="D17" sqref="D17"/>
    </sheetView>
  </sheetViews>
  <sheetFormatPr defaultRowHeight="15" x14ac:dyDescent="0.25"/>
  <cols>
    <col min="1" max="1" width="49.85546875" customWidth="1"/>
    <col min="2" max="2" width="9.42578125" customWidth="1"/>
    <col min="3" max="14" width="13.140625" customWidth="1"/>
    <col min="15" max="15" width="47.28515625" customWidth="1"/>
  </cols>
  <sheetData>
    <row r="1" spans="1:16" ht="18.75" x14ac:dyDescent="0.3">
      <c r="A1" s="5" t="s">
        <v>819</v>
      </c>
      <c r="O1" s="137" t="str">
        <f>Data_Sources!$D$8&amp;" | "&amp;Data_Sources!$E$8&amp;" | "&amp;Data_Sources!$F$8</f>
        <v>Eternal Q4FY26 consolidated statement of cash flows | Adjustments to reconcile PBT | https://b.zmtcdn.com/investor-relations/Eternal_Shareholders_Letter_Q4FY26_Results.pdf</v>
      </c>
      <c r="P1" s="171"/>
    </row>
    <row r="2" spans="1:16" x14ac:dyDescent="0.25">
      <c r="A2" s="3" t="s">
        <v>75</v>
      </c>
      <c r="B2" s="3" t="s">
        <v>5</v>
      </c>
      <c r="C2" s="3" t="s">
        <v>678</v>
      </c>
      <c r="D2" s="3" t="s">
        <v>679</v>
      </c>
      <c r="E2" s="3" t="s">
        <v>23</v>
      </c>
      <c r="F2" s="3" t="s">
        <v>6</v>
      </c>
      <c r="G2" s="3" t="s">
        <v>24</v>
      </c>
      <c r="H2" s="3" t="s">
        <v>25</v>
      </c>
      <c r="I2" s="3" t="s">
        <v>26</v>
      </c>
      <c r="J2" s="3" t="s">
        <v>27</v>
      </c>
      <c r="K2" s="3" t="s">
        <v>28</v>
      </c>
      <c r="L2" s="3" t="s">
        <v>29</v>
      </c>
      <c r="M2" s="3" t="s">
        <v>30</v>
      </c>
      <c r="N2" s="3" t="s">
        <v>7</v>
      </c>
      <c r="O2" s="171"/>
      <c r="P2" s="171"/>
    </row>
    <row r="3" spans="1:16" x14ac:dyDescent="0.25">
      <c r="O3" s="171"/>
      <c r="P3" s="171"/>
    </row>
    <row r="4" spans="1:16" x14ac:dyDescent="0.25">
      <c r="A4" s="167" t="s">
        <v>820</v>
      </c>
      <c r="B4" s="3"/>
      <c r="C4" s="3"/>
      <c r="D4" s="3"/>
      <c r="E4" s="3"/>
      <c r="F4" s="3"/>
      <c r="G4" s="3"/>
      <c r="H4" s="3"/>
      <c r="I4" s="3"/>
      <c r="J4" s="3"/>
      <c r="K4" s="3"/>
      <c r="L4" s="3"/>
      <c r="M4" s="3"/>
      <c r="N4" s="3"/>
      <c r="O4" s="171"/>
      <c r="P4" s="171"/>
    </row>
    <row r="5" spans="1:16" x14ac:dyDescent="0.25">
      <c r="A5" s="3" t="s">
        <v>821</v>
      </c>
      <c r="B5" s="3" t="s">
        <v>9</v>
      </c>
      <c r="C5" s="168"/>
      <c r="D5" s="345">
        <v>515</v>
      </c>
      <c r="E5" s="345">
        <v>798</v>
      </c>
      <c r="F5" s="345">
        <v>819</v>
      </c>
      <c r="G5" s="335">
        <f>Assumptions!H85</f>
        <v>850</v>
      </c>
      <c r="H5" s="335">
        <f>Assumptions!I85</f>
        <v>880</v>
      </c>
      <c r="I5" s="335">
        <f>Assumptions!J85</f>
        <v>900</v>
      </c>
      <c r="J5" s="335">
        <f>Assumptions!K85</f>
        <v>920</v>
      </c>
      <c r="K5" s="335">
        <f>Assumptions!L85</f>
        <v>940</v>
      </c>
      <c r="L5" s="335">
        <f>Assumptions!M85</f>
        <v>960</v>
      </c>
      <c r="M5" s="335">
        <f>Assumptions!N85</f>
        <v>980</v>
      </c>
      <c r="N5" s="335">
        <f>Assumptions!O85</f>
        <v>1000</v>
      </c>
      <c r="O5" s="171"/>
      <c r="P5" s="171"/>
    </row>
    <row r="6" spans="1:16" x14ac:dyDescent="0.25">
      <c r="A6" t="s">
        <v>96</v>
      </c>
      <c r="B6" t="s">
        <v>13</v>
      </c>
      <c r="C6" s="66"/>
      <c r="D6" s="66" t="str">
        <f t="shared" ref="D6:N6" si="0">IFERROR(D5/C5-1,"")</f>
        <v/>
      </c>
      <c r="E6" s="66">
        <f t="shared" si="0"/>
        <v>0.54951456310679614</v>
      </c>
      <c r="F6" s="66">
        <f t="shared" si="0"/>
        <v>2.6315789473684292E-2</v>
      </c>
      <c r="G6" s="66">
        <f t="shared" si="0"/>
        <v>3.7851037851037939E-2</v>
      </c>
      <c r="H6" s="66">
        <f t="shared" si="0"/>
        <v>3.529411764705892E-2</v>
      </c>
      <c r="I6" s="66">
        <f t="shared" si="0"/>
        <v>2.2727272727272707E-2</v>
      </c>
      <c r="J6" s="66">
        <f t="shared" si="0"/>
        <v>2.2222222222222143E-2</v>
      </c>
      <c r="K6" s="66">
        <f t="shared" si="0"/>
        <v>2.1739130434782705E-2</v>
      </c>
      <c r="L6" s="66">
        <f t="shared" si="0"/>
        <v>2.1276595744680771E-2</v>
      </c>
      <c r="M6" s="66">
        <f t="shared" si="0"/>
        <v>2.0833333333333259E-2</v>
      </c>
      <c r="N6" s="66">
        <f t="shared" si="0"/>
        <v>2.0408163265306145E-2</v>
      </c>
      <c r="O6" s="171"/>
      <c r="P6" s="171"/>
    </row>
    <row r="7" spans="1:16" x14ac:dyDescent="0.25">
      <c r="C7" s="80"/>
      <c r="D7" s="80"/>
      <c r="E7" s="80"/>
      <c r="F7" s="80"/>
      <c r="G7" s="169"/>
      <c r="H7" s="169"/>
      <c r="I7" s="169"/>
      <c r="J7" s="169"/>
      <c r="K7" s="169"/>
      <c r="L7" s="169"/>
      <c r="M7" s="169"/>
      <c r="N7" s="169"/>
      <c r="O7" s="171"/>
      <c r="P7" s="171"/>
    </row>
    <row r="8" spans="1:16" x14ac:dyDescent="0.25">
      <c r="A8" s="167" t="s">
        <v>822</v>
      </c>
      <c r="B8" s="3"/>
      <c r="C8" s="91"/>
      <c r="D8" s="91"/>
      <c r="E8" s="91"/>
      <c r="F8" s="91"/>
      <c r="G8" s="170"/>
      <c r="H8" s="170"/>
      <c r="I8" s="170"/>
      <c r="J8" s="170"/>
      <c r="K8" s="170"/>
      <c r="L8" s="170"/>
      <c r="M8" s="170"/>
      <c r="N8" s="170"/>
      <c r="O8" s="171"/>
      <c r="P8" s="171"/>
    </row>
    <row r="9" spans="1:16" x14ac:dyDescent="0.25">
      <c r="A9" t="s">
        <v>823</v>
      </c>
      <c r="B9" t="s">
        <v>13</v>
      </c>
      <c r="C9" s="67" t="str">
        <f>IF($C$5="","",C5/'Cost Schedule'!D8)</f>
        <v/>
      </c>
      <c r="D9" s="67">
        <f>IFERROR(D5/'Cost Schedule'!E8,"")</f>
        <v>0.31042796865581673</v>
      </c>
      <c r="E9" s="67">
        <f>IFERROR(E5/'Cost Schedule'!F8,"")</f>
        <v>0.31196247068021893</v>
      </c>
      <c r="F9" s="67">
        <f>IFERROR(F5/'Cost Schedule'!G8,"")</f>
        <v>0.23161764705882354</v>
      </c>
      <c r="G9" s="67">
        <f>IFERROR(G5/'Cost Schedule'!H8,"")</f>
        <v>0.10965855445594512</v>
      </c>
      <c r="H9" s="67">
        <f>IFERROR(H5/'Cost Schedule'!I8,"")</f>
        <v>8.7772546381085795E-2</v>
      </c>
      <c r="I9" s="67">
        <f>IFERROR(I5/'Cost Schedule'!J8,"")</f>
        <v>7.1401451837031921E-2</v>
      </c>
      <c r="J9" s="67">
        <f>IFERROR(J5/'Cost Schedule'!K8,"")</f>
        <v>5.9452434914212308E-2</v>
      </c>
      <c r="K9" s="67">
        <f>IFERROR(K5/'Cost Schedule'!L8,"")</f>
        <v>5.0191285108175589E-2</v>
      </c>
      <c r="L9" s="67">
        <f>IFERROR(L5/'Cost Schedule'!M8,"")</f>
        <v>4.3467060709822675E-2</v>
      </c>
      <c r="M9" s="67">
        <f>IFERROR(M5/'Cost Schedule'!N8,"")</f>
        <v>3.7455000303844278E-2</v>
      </c>
      <c r="N9" s="67">
        <f>IFERROR(N5/'Cost Schedule'!O8,"")</f>
        <v>3.3650751626435542E-2</v>
      </c>
      <c r="O9" s="171"/>
      <c r="P9" s="171"/>
    </row>
    <row r="10" spans="1:16" x14ac:dyDescent="0.25">
      <c r="A10" t="s">
        <v>824</v>
      </c>
      <c r="B10" t="s">
        <v>13</v>
      </c>
      <c r="C10" s="67" t="str">
        <f>IF($C$5="","",C5/IS!D6)</f>
        <v/>
      </c>
      <c r="D10" s="67">
        <f>IFERROR(D5/IS!E6,"")</f>
        <v>4.2512795113092292E-2</v>
      </c>
      <c r="E10" s="67">
        <f>IFERROR(E5/IS!F6,"")</f>
        <v>3.9421034431655386E-2</v>
      </c>
      <c r="F10" s="67">
        <f>IFERROR(F5/IS!G6,"")</f>
        <v>1.5065116621293503E-2</v>
      </c>
      <c r="G10" s="67">
        <f>IFERROR(G5/IS!H6,"")</f>
        <v>6.5110848288456912E-3</v>
      </c>
      <c r="H10" s="67">
        <f>IFERROR(H5/IS!I6,"")</f>
        <v>4.8493000699570878E-3</v>
      </c>
      <c r="I10" s="67">
        <f>IFERROR(I5/IS!J6,"")</f>
        <v>3.651789637648169E-3</v>
      </c>
      <c r="J10" s="67">
        <f>IFERROR(J5/IS!K6,"")</f>
        <v>2.8581168650171542E-3</v>
      </c>
      <c r="K10" s="67">
        <f>IFERROR(K5/IS!L6,"")</f>
        <v>2.3105737296289933E-3</v>
      </c>
      <c r="L10" s="67">
        <f>IFERROR(L5/IS!M6,"")</f>
        <v>1.912506534338063E-3</v>
      </c>
      <c r="M10" s="67">
        <f>IFERROR(M5/IS!N6,"")</f>
        <v>1.610127405660214E-3</v>
      </c>
      <c r="N10" s="67">
        <f>IFERROR(N5/IS!O6,"")</f>
        <v>1.4126017540885716E-3</v>
      </c>
      <c r="O10" s="171"/>
      <c r="P10" s="171"/>
    </row>
    <row r="11" spans="1:16" x14ac:dyDescent="0.25">
      <c r="A11" t="s">
        <v>825</v>
      </c>
      <c r="B11" t="s">
        <v>13</v>
      </c>
      <c r="C11" s="67" t="str">
        <f>IF($C$5="","",C5/IS!D48)</f>
        <v/>
      </c>
      <c r="D11" s="67">
        <f>IFERROR(D5/IS!E48,"")</f>
        <v>1.3844086021505377</v>
      </c>
      <c r="E11" s="67">
        <f>IFERROR(E5/IS!F48,"")</f>
        <v>0.73957367933271545</v>
      </c>
      <c r="F11" s="67">
        <f>IFERROR(F5/IS!G48,"")</f>
        <v>0.6888141295206055</v>
      </c>
      <c r="G11" s="67">
        <f>IFERROR(G5/IS!H48,"")</f>
        <v>0.33550712213334721</v>
      </c>
      <c r="H11" s="67">
        <f>IFERROR(H5/IS!I48,"")</f>
        <v>0.16230247484494226</v>
      </c>
      <c r="I11" s="67">
        <f>IFERROR(I5/IS!J48,"")</f>
        <v>8.5222924800529842E-2</v>
      </c>
      <c r="J11" s="67">
        <f>IFERROR(J5/IS!K48,"")</f>
        <v>5.2567178359459364E-2</v>
      </c>
      <c r="K11" s="67">
        <f>IFERROR(K5/IS!L48,"")</f>
        <v>3.6426859497378172E-2</v>
      </c>
      <c r="L11" s="67">
        <f>IFERROR(L5/IS!M48,"")</f>
        <v>2.8143436098835416E-2</v>
      </c>
      <c r="M11" s="67">
        <f>IFERROR(M5/IS!N48,"")</f>
        <v>2.2184711602191022E-2</v>
      </c>
      <c r="N11" s="67">
        <f>IFERROR(N5/IS!O48,"")</f>
        <v>1.8214215737879316E-2</v>
      </c>
      <c r="O11" s="171"/>
      <c r="P11" s="171"/>
    </row>
    <row r="12" spans="1:16" x14ac:dyDescent="0.25">
      <c r="C12" s="80"/>
      <c r="D12" s="80"/>
      <c r="E12" s="80"/>
      <c r="F12" s="80"/>
      <c r="G12" s="169"/>
      <c r="H12" s="169"/>
      <c r="I12" s="169"/>
      <c r="J12" s="169"/>
      <c r="K12" s="169"/>
      <c r="L12" s="169"/>
      <c r="M12" s="169"/>
      <c r="N12" s="169"/>
      <c r="O12" s="171"/>
      <c r="P12" s="171"/>
    </row>
    <row r="13" spans="1:16" x14ac:dyDescent="0.25">
      <c r="A13" s="167" t="s">
        <v>944</v>
      </c>
      <c r="B13" s="3"/>
      <c r="C13" s="91"/>
      <c r="D13" s="91"/>
      <c r="E13" s="91"/>
      <c r="F13" s="91"/>
      <c r="G13" s="170"/>
      <c r="H13" s="170"/>
      <c r="I13" s="170"/>
      <c r="J13" s="170"/>
      <c r="K13" s="170"/>
      <c r="L13" s="170"/>
      <c r="M13" s="170"/>
      <c r="N13" s="170"/>
      <c r="O13" s="171"/>
      <c r="P13" s="171"/>
    </row>
    <row r="14" spans="1:16" x14ac:dyDescent="0.25">
      <c r="A14" s="2" t="s">
        <v>826</v>
      </c>
      <c r="B14" s="2" t="s">
        <v>9</v>
      </c>
      <c r="C14" s="346">
        <f>IFERROR(ROUND(C5+IS!D55,6),"")</f>
        <v>0</v>
      </c>
      <c r="D14" s="346">
        <f>IFERROR(ROUND(D5+IS!E55,6),"")</f>
        <v>0</v>
      </c>
      <c r="E14" s="346">
        <f>IFERROR(ROUND(E5+IS!F55,6),"")</f>
        <v>0</v>
      </c>
      <c r="F14" s="346">
        <f>IFERROR(ROUND(F5+IS!G55,6),"")</f>
        <v>0</v>
      </c>
      <c r="G14" s="346">
        <f>IFERROR(ROUND(G5+IS!H55,6),"")</f>
        <v>0</v>
      </c>
      <c r="H14" s="346">
        <f>IFERROR(ROUND(H5+IS!I55,6),"")</f>
        <v>0</v>
      </c>
      <c r="I14" s="346">
        <f>IFERROR(ROUND(I5+IS!J55,6),"")</f>
        <v>0</v>
      </c>
      <c r="J14" s="346">
        <f>IFERROR(ROUND(J5+IS!K55,6),"")</f>
        <v>0</v>
      </c>
      <c r="K14" s="346">
        <f>IFERROR(ROUND(K5+IS!L55,6),"")</f>
        <v>0</v>
      </c>
      <c r="L14" s="346">
        <f>IFERROR(ROUND(L5+IS!M55,6),"")</f>
        <v>0</v>
      </c>
      <c r="M14" s="346">
        <f>IFERROR(ROUND(M5+IS!N55,6),"")</f>
        <v>0</v>
      </c>
      <c r="N14" s="346">
        <f>IFERROR(ROUND(N5+IS!O55,6),"")</f>
        <v>0</v>
      </c>
      <c r="O14" s="171"/>
      <c r="P14" s="171"/>
    </row>
    <row r="15" spans="1:16" x14ac:dyDescent="0.25">
      <c r="O15" s="171"/>
      <c r="P15" s="171"/>
    </row>
    <row r="16" spans="1:16" x14ac:dyDescent="0.25">
      <c r="O16" s="171"/>
      <c r="P16" s="171"/>
    </row>
    <row r="17" spans="15:16" x14ac:dyDescent="0.25">
      <c r="O17" s="171"/>
      <c r="P17" s="171"/>
    </row>
    <row r="18" spans="15:16" x14ac:dyDescent="0.25">
      <c r="O18" s="171"/>
      <c r="P18" s="171"/>
    </row>
    <row r="19" spans="15:16" x14ac:dyDescent="0.25">
      <c r="O19" s="171"/>
      <c r="P19" s="171"/>
    </row>
    <row r="20" spans="15:16" x14ac:dyDescent="0.25">
      <c r="O20" s="171"/>
      <c r="P20" s="171"/>
    </row>
    <row r="21" spans="15:16" x14ac:dyDescent="0.25">
      <c r="O21" s="171"/>
      <c r="P21" s="171"/>
    </row>
    <row r="22" spans="15:16" x14ac:dyDescent="0.25">
      <c r="O22" s="171"/>
      <c r="P22" s="17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1E0C4-09C2-4901-9907-8D0307BE2C6D}">
  <dimension ref="A1:Q38"/>
  <sheetViews>
    <sheetView zoomScale="60" zoomScaleNormal="60" workbookViewId="0">
      <pane xSplit="2" topLeftCell="C1" activePane="topRight" state="frozen"/>
      <selection pane="topRight" activeCell="G17" sqref="G17"/>
    </sheetView>
  </sheetViews>
  <sheetFormatPr defaultRowHeight="15" x14ac:dyDescent="0.25"/>
  <cols>
    <col min="1" max="1" width="47.28515625" customWidth="1"/>
    <col min="2" max="5" width="10.85546875" customWidth="1"/>
    <col min="6" max="15" width="14.140625" customWidth="1"/>
    <col min="16" max="16" width="76.42578125" style="24" customWidth="1"/>
    <col min="17" max="17" width="47.28515625" customWidth="1"/>
  </cols>
  <sheetData>
    <row r="1" spans="1:17" ht="18.75" x14ac:dyDescent="0.3">
      <c r="A1" s="5" t="s">
        <v>106</v>
      </c>
      <c r="Q1" s="3" t="s">
        <v>893</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8" t="s">
        <v>107</v>
      </c>
      <c r="B4" s="3"/>
      <c r="C4" s="3"/>
      <c r="D4" s="102"/>
      <c r="E4" s="102"/>
      <c r="F4" s="102"/>
      <c r="G4" s="102"/>
      <c r="H4" s="3"/>
      <c r="I4" s="3"/>
      <c r="J4" s="3"/>
      <c r="K4" s="3"/>
      <c r="L4" s="3"/>
      <c r="M4" s="3"/>
      <c r="N4" s="3"/>
      <c r="O4" s="3"/>
      <c r="Q4" s="78" t="str">
        <f>Data_Sources!$D$9&amp;" | "&amp;Data_Sources!$E$9&amp;" | "&amp;Data_Sources!$F$9</f>
        <v>Eternal Q4FY26 audited consolidated balance sheet | Annexure E | https://b.zmtcdn.com/investor-relations/Eternal_Shareholders_Letter_Q4FY26_Results.pdf</v>
      </c>
    </row>
    <row r="5" spans="1:17" x14ac:dyDescent="0.25">
      <c r="A5" s="2" t="s">
        <v>860</v>
      </c>
      <c r="D5" s="99"/>
      <c r="E5" s="99"/>
      <c r="F5" s="99"/>
      <c r="G5" s="99"/>
      <c r="H5" s="59"/>
      <c r="I5" s="59"/>
      <c r="J5" s="59"/>
      <c r="K5" s="59"/>
      <c r="L5" s="59"/>
      <c r="M5" s="59"/>
      <c r="N5" s="59"/>
      <c r="O5" s="59"/>
      <c r="P5" s="128" t="s">
        <v>448</v>
      </c>
    </row>
    <row r="6" spans="1:17" x14ac:dyDescent="0.25">
      <c r="A6" t="s">
        <v>861</v>
      </c>
      <c r="B6" t="s">
        <v>9</v>
      </c>
      <c r="D6" s="190">
        <f>FA_Schedule!C9</f>
        <v>216</v>
      </c>
      <c r="E6" s="190">
        <f>FA_Schedule!D9</f>
        <v>305</v>
      </c>
      <c r="F6" s="190">
        <f>FA_Schedule!E9</f>
        <v>1016</v>
      </c>
      <c r="G6" s="190">
        <f>FA_Schedule!F9</f>
        <v>2169</v>
      </c>
      <c r="H6" s="190">
        <f>FA_Schedule!G9</f>
        <v>4238.3</v>
      </c>
      <c r="I6" s="190">
        <f>FA_Schedule!H9</f>
        <v>5941.81</v>
      </c>
      <c r="J6" s="190">
        <f>FA_Schedule!I9</f>
        <v>7389.2670000000016</v>
      </c>
      <c r="K6" s="190">
        <f>FA_Schedule!J9</f>
        <v>8657.4869000000017</v>
      </c>
      <c r="L6" s="190">
        <f>FA_Schedule!K9</f>
        <v>9693.9908300000006</v>
      </c>
      <c r="M6" s="190">
        <f>FA_Schedule!L9</f>
        <v>10568.293581</v>
      </c>
      <c r="N6" s="190">
        <f>FA_Schedule!M9</f>
        <v>11329.0555067</v>
      </c>
      <c r="O6" s="190">
        <f>FA_Schedule!N9</f>
        <v>12010.338854690001</v>
      </c>
      <c r="P6" s="128" t="s">
        <v>449</v>
      </c>
    </row>
    <row r="7" spans="1:17" x14ac:dyDescent="0.25">
      <c r="A7" t="s">
        <v>862</v>
      </c>
      <c r="B7" t="s">
        <v>9</v>
      </c>
      <c r="D7" s="190">
        <f>FA_Schedule!C24</f>
        <v>427</v>
      </c>
      <c r="E7" s="190">
        <f>FA_Schedule!D24</f>
        <v>690</v>
      </c>
      <c r="F7" s="190">
        <f>FA_Schedule!E24</f>
        <v>1918</v>
      </c>
      <c r="G7" s="190">
        <f>FA_Schedule!F24</f>
        <v>4294</v>
      </c>
      <c r="H7" s="190">
        <f>FA_Schedule!G24</f>
        <v>6860.9089766454354</v>
      </c>
      <c r="I7" s="190">
        <f>FA_Schedule!H24</f>
        <v>9365.0466722532146</v>
      </c>
      <c r="J7" s="190">
        <f>FA_Schedule!I24</f>
        <v>11836.324367508028</v>
      </c>
      <c r="K7" s="190">
        <f>FA_Schedule!J24</f>
        <v>14292.956493609467</v>
      </c>
      <c r="L7" s="190">
        <f>FA_Schedule!K24</f>
        <v>16596.96002965248</v>
      </c>
      <c r="M7" s="190">
        <f>FA_Schedule!L24</f>
        <v>18766.449037428043</v>
      </c>
      <c r="N7" s="190">
        <f>FA_Schedule!M24</f>
        <v>20803.88362046202</v>
      </c>
      <c r="O7" s="190">
        <f>FA_Schedule!N24</f>
        <v>22696.493112369739</v>
      </c>
      <c r="P7" s="128" t="s">
        <v>450</v>
      </c>
    </row>
    <row r="8" spans="1:17" x14ac:dyDescent="0.25">
      <c r="A8" t="s">
        <v>863</v>
      </c>
      <c r="B8" t="s">
        <v>9</v>
      </c>
      <c r="D8" s="190">
        <f>FA_Schedule!C31</f>
        <v>5708</v>
      </c>
      <c r="E8" s="190">
        <f>FA_Schedule!D31</f>
        <v>5471</v>
      </c>
      <c r="F8" s="190">
        <f>FA_Schedule!E31</f>
        <v>6649</v>
      </c>
      <c r="G8" s="190">
        <f>FA_Schedule!F31</f>
        <v>6348</v>
      </c>
      <c r="H8" s="190">
        <f>FA_Schedule!G31</f>
        <v>6030.6</v>
      </c>
      <c r="I8" s="190">
        <f>FA_Schedule!H31</f>
        <v>5729.0700000000006</v>
      </c>
      <c r="J8" s="190">
        <f>FA_Schedule!I31</f>
        <v>5442.616500000001</v>
      </c>
      <c r="K8" s="190">
        <f>FA_Schedule!J31</f>
        <v>5170.4856750000008</v>
      </c>
      <c r="L8" s="190">
        <f>FA_Schedule!K31</f>
        <v>4911.9613912500008</v>
      </c>
      <c r="M8" s="190">
        <f>FA_Schedule!L31</f>
        <v>4666.3633216875005</v>
      </c>
      <c r="N8" s="190">
        <f>FA_Schedule!M31</f>
        <v>4433.0451556031257</v>
      </c>
      <c r="O8" s="190">
        <f>FA_Schedule!N31</f>
        <v>4211.3928978229696</v>
      </c>
      <c r="P8" s="128" t="s">
        <v>108</v>
      </c>
    </row>
    <row r="9" spans="1:17" x14ac:dyDescent="0.25">
      <c r="A9" t="s">
        <v>1451</v>
      </c>
      <c r="B9" t="s">
        <v>9</v>
      </c>
      <c r="D9" s="347">
        <f t="shared" ref="D9:O9" si="0">D31-D6-D7-D8-D16</f>
        <v>-1404</v>
      </c>
      <c r="E9" s="347">
        <f t="shared" si="0"/>
        <v>1202</v>
      </c>
      <c r="F9" s="151">
        <f>F18-F6-F7-F8-F16</f>
        <v>1399</v>
      </c>
      <c r="G9" s="151">
        <f>G18-G6-G7-G8-G16</f>
        <v>867</v>
      </c>
      <c r="H9" s="151">
        <f>$G$9</f>
        <v>867</v>
      </c>
      <c r="I9" s="151">
        <f>$G$9</f>
        <v>867</v>
      </c>
      <c r="J9" s="151">
        <f>$G$9</f>
        <v>867</v>
      </c>
      <c r="K9" s="151">
        <f>$G$9</f>
        <v>867</v>
      </c>
      <c r="L9" s="151">
        <f>$G$9</f>
        <v>867</v>
      </c>
      <c r="M9" s="151">
        <f>$G$9</f>
        <v>867</v>
      </c>
      <c r="N9" s="151">
        <f>$G$9</f>
        <v>867</v>
      </c>
      <c r="O9" s="151">
        <f>$G$9</f>
        <v>867</v>
      </c>
      <c r="P9" s="128" t="s">
        <v>451</v>
      </c>
    </row>
    <row r="10" spans="1:17" x14ac:dyDescent="0.25">
      <c r="A10" s="3" t="s">
        <v>864</v>
      </c>
      <c r="B10" s="3" t="s">
        <v>9</v>
      </c>
      <c r="C10" s="3"/>
      <c r="D10" s="168">
        <f t="shared" ref="D10:O10" si="1">SUM(D6:D9)</f>
        <v>4947</v>
      </c>
      <c r="E10" s="168">
        <f t="shared" si="1"/>
        <v>7668</v>
      </c>
      <c r="F10" s="168">
        <f t="shared" si="1"/>
        <v>10982</v>
      </c>
      <c r="G10" s="168">
        <f t="shared" si="1"/>
        <v>13678</v>
      </c>
      <c r="H10" s="168">
        <f t="shared" si="1"/>
        <v>17996.808976645436</v>
      </c>
      <c r="I10" s="168">
        <f t="shared" si="1"/>
        <v>21902.926672253216</v>
      </c>
      <c r="J10" s="168">
        <f t="shared" si="1"/>
        <v>25535.20786750803</v>
      </c>
      <c r="K10" s="168">
        <f t="shared" si="1"/>
        <v>28987.929068609468</v>
      </c>
      <c r="L10" s="168">
        <f t="shared" si="1"/>
        <v>32069.912250902482</v>
      </c>
      <c r="M10" s="168">
        <f t="shared" si="1"/>
        <v>34868.105940115543</v>
      </c>
      <c r="N10" s="168">
        <f t="shared" si="1"/>
        <v>37432.984282765145</v>
      </c>
      <c r="O10" s="168">
        <f t="shared" si="1"/>
        <v>39785.224864882708</v>
      </c>
      <c r="P10" s="128" t="s">
        <v>452</v>
      </c>
    </row>
    <row r="11" spans="1:17" x14ac:dyDescent="0.25">
      <c r="A11" s="2" t="s">
        <v>865</v>
      </c>
      <c r="D11" s="99"/>
      <c r="E11" s="99"/>
      <c r="F11" s="99"/>
      <c r="G11" s="99"/>
      <c r="H11" s="68"/>
      <c r="I11" s="68"/>
      <c r="J11" s="68"/>
      <c r="K11" s="68"/>
      <c r="L11" s="68"/>
      <c r="M11" s="68"/>
      <c r="N11" s="68"/>
      <c r="O11" s="68"/>
      <c r="P11" s="128" t="s">
        <v>111</v>
      </c>
    </row>
    <row r="12" spans="1:17" x14ac:dyDescent="0.25">
      <c r="A12" s="3" t="s">
        <v>866</v>
      </c>
      <c r="B12" t="s">
        <v>9</v>
      </c>
      <c r="D12" s="335">
        <f>WC_Schedule!D13</f>
        <v>83</v>
      </c>
      <c r="E12" s="335">
        <f>WC_Schedule!E13</f>
        <v>88</v>
      </c>
      <c r="F12" s="335">
        <f>WC_Schedule!F13</f>
        <v>176</v>
      </c>
      <c r="G12" s="335">
        <f>WC_Schedule!G13</f>
        <v>2181</v>
      </c>
      <c r="H12" s="335">
        <f>WC_Schedule!H13</f>
        <v>5947.2718410958905</v>
      </c>
      <c r="I12" s="335">
        <f>WC_Schedule!I13</f>
        <v>8266.5674356164382</v>
      </c>
      <c r="J12" s="335">
        <f>WC_Schedule!J13</f>
        <v>10832.311637671233</v>
      </c>
      <c r="K12" s="335">
        <f>WC_Schedule!K13</f>
        <v>14142.498792739725</v>
      </c>
      <c r="L12" s="335">
        <f>WC_Schedule!L13</f>
        <v>17144.665579870689</v>
      </c>
      <c r="M12" s="335">
        <f>WC_Schedule!M13</f>
        <v>21265.623651818958</v>
      </c>
      <c r="N12" s="335">
        <f>WC_Schedule!N13</f>
        <v>25692.366925306382</v>
      </c>
      <c r="O12" s="335">
        <f>WC_Schedule!O13</f>
        <v>29950.643255428949</v>
      </c>
      <c r="P12" s="128" t="s">
        <v>113</v>
      </c>
    </row>
    <row r="13" spans="1:17" x14ac:dyDescent="0.25">
      <c r="A13" t="s">
        <v>867</v>
      </c>
      <c r="B13" t="s">
        <v>9</v>
      </c>
      <c r="D13" s="190">
        <f>WC_Schedule!D12</f>
        <v>457</v>
      </c>
      <c r="E13" s="190">
        <f>WC_Schedule!E12</f>
        <v>794</v>
      </c>
      <c r="F13" s="190">
        <f>WC_Schedule!F12</f>
        <v>1946</v>
      </c>
      <c r="G13" s="190">
        <f>WC_Schedule!G12</f>
        <v>1764</v>
      </c>
      <c r="H13" s="190">
        <f>WC_Schedule!H12</f>
        <v>4291.9430807671233</v>
      </c>
      <c r="I13" s="190">
        <f>WC_Schedule!I12</f>
        <v>5966.1201476383558</v>
      </c>
      <c r="J13" s="190">
        <f>WC_Schedule!J12</f>
        <v>8102.6137953955067</v>
      </c>
      <c r="K13" s="190">
        <f>WC_Schedule!K12</f>
        <v>10582.693700414597</v>
      </c>
      <c r="L13" s="190">
        <f>WC_Schedule!L12</f>
        <v>13375.080480120987</v>
      </c>
      <c r="M13" s="190">
        <f>WC_Schedule!M12</f>
        <v>16502.763922080001</v>
      </c>
      <c r="N13" s="190">
        <f>WC_Schedule!N12</f>
        <v>20010.328355960552</v>
      </c>
      <c r="O13" s="190">
        <f>WC_Schedule!O12</f>
        <v>23273.871941338195</v>
      </c>
      <c r="P13" s="128"/>
    </row>
    <row r="14" spans="1:17" x14ac:dyDescent="0.25">
      <c r="A14" s="8" t="s">
        <v>868</v>
      </c>
      <c r="B14" t="s">
        <v>9</v>
      </c>
      <c r="D14" s="190">
        <f>WC_Schedule!D14</f>
        <v>4789</v>
      </c>
      <c r="E14" s="190">
        <f>WC_Schedule!E14</f>
        <v>2565</v>
      </c>
      <c r="F14" s="190">
        <f>WC_Schedule!F14</f>
        <v>5713</v>
      </c>
      <c r="G14" s="190">
        <f>WC_Schedule!G14</f>
        <v>5141</v>
      </c>
      <c r="H14" s="190">
        <f>WC_Schedule!H14</f>
        <v>11096.461173400001</v>
      </c>
      <c r="I14" s="190">
        <f>WC_Schedule!I14</f>
        <v>15424.90646504</v>
      </c>
      <c r="J14" s="190">
        <f>WC_Schedule!J14</f>
        <v>19716.360235462398</v>
      </c>
      <c r="K14" s="190">
        <f>WC_Schedule!K14</f>
        <v>25751.221337675517</v>
      </c>
      <c r="L14" s="190">
        <f>WC_Schedule!L14</f>
        <v>32546.029168294404</v>
      </c>
      <c r="M14" s="190">
        <f>WC_Schedule!M14</f>
        <v>40156.725543727996</v>
      </c>
      <c r="N14" s="190">
        <f>WC_Schedule!N14</f>
        <v>48691.798999504012</v>
      </c>
      <c r="O14" s="190">
        <f>WC_Schedule!O14</f>
        <v>56633.088390589612</v>
      </c>
      <c r="P14" s="128"/>
    </row>
    <row r="15" spans="1:17" ht="30" x14ac:dyDescent="0.25">
      <c r="A15" t="s">
        <v>1448</v>
      </c>
      <c r="B15" t="s">
        <v>9</v>
      </c>
      <c r="D15" s="93">
        <v>11323</v>
      </c>
      <c r="E15" s="93">
        <v>12241</v>
      </c>
      <c r="F15" s="93">
        <v>16806</v>
      </c>
      <c r="G15" s="93">
        <v>17972</v>
      </c>
      <c r="H15" s="190">
        <f>G15+CFS!H30</f>
        <v>5637.6314996277106</v>
      </c>
      <c r="I15" s="190">
        <f>H15+CFS!I30</f>
        <v>-5378.6029198204778</v>
      </c>
      <c r="J15" s="190">
        <f>I15+CFS!J30</f>
        <v>-13796.349870111462</v>
      </c>
      <c r="K15" s="190">
        <f>J15+CFS!K30</f>
        <v>-20244.157370039047</v>
      </c>
      <c r="L15" s="190">
        <f>K15+CFS!L30</f>
        <v>-19467.867415751913</v>
      </c>
      <c r="M15" s="190">
        <f>L15+CFS!M30</f>
        <v>-10789.257090174626</v>
      </c>
      <c r="N15" s="190">
        <f>M15+CFS!N30</f>
        <v>6940.2003192723387</v>
      </c>
      <c r="O15" s="190">
        <f>N15+CFS!O30</f>
        <v>31344.969653383301</v>
      </c>
      <c r="P15" s="128" t="s">
        <v>115</v>
      </c>
    </row>
    <row r="16" spans="1:17" x14ac:dyDescent="0.25">
      <c r="A16" s="3" t="s">
        <v>869</v>
      </c>
      <c r="B16" s="3" t="s">
        <v>9</v>
      </c>
      <c r="C16" s="3"/>
      <c r="D16" s="168">
        <f t="shared" ref="D16:O16" si="2">SUM(D12:D15)</f>
        <v>16652</v>
      </c>
      <c r="E16" s="168">
        <f t="shared" si="2"/>
        <v>15688</v>
      </c>
      <c r="F16" s="168">
        <f t="shared" si="2"/>
        <v>24641</v>
      </c>
      <c r="G16" s="168">
        <f t="shared" si="2"/>
        <v>27058</v>
      </c>
      <c r="H16" s="168">
        <f t="shared" si="2"/>
        <v>26973.307594890724</v>
      </c>
      <c r="I16" s="168">
        <f t="shared" si="2"/>
        <v>24278.991128474314</v>
      </c>
      <c r="J16" s="168">
        <f t="shared" si="2"/>
        <v>24854.935798417671</v>
      </c>
      <c r="K16" s="168">
        <f t="shared" si="2"/>
        <v>30232.256460790795</v>
      </c>
      <c r="L16" s="168">
        <f t="shared" si="2"/>
        <v>43597.907812534162</v>
      </c>
      <c r="M16" s="168">
        <f t="shared" si="2"/>
        <v>67135.856027452333</v>
      </c>
      <c r="N16" s="168">
        <f t="shared" si="2"/>
        <v>101334.69460004328</v>
      </c>
      <c r="O16" s="168">
        <f t="shared" si="2"/>
        <v>141202.57324074005</v>
      </c>
      <c r="P16" s="128" t="s">
        <v>453</v>
      </c>
    </row>
    <row r="17" spans="1:17" x14ac:dyDescent="0.25">
      <c r="A17" s="3" t="s">
        <v>112</v>
      </c>
      <c r="B17" s="3" t="s">
        <v>9</v>
      </c>
      <c r="C17" s="3"/>
      <c r="D17" s="168">
        <f t="shared" ref="D17:O17" si="3">D10+D16</f>
        <v>21599</v>
      </c>
      <c r="E17" s="168">
        <f t="shared" si="3"/>
        <v>23356</v>
      </c>
      <c r="F17" s="168">
        <f t="shared" si="3"/>
        <v>35623</v>
      </c>
      <c r="G17" s="168">
        <f t="shared" si="3"/>
        <v>40736</v>
      </c>
      <c r="H17" s="168">
        <f t="shared" si="3"/>
        <v>44970.116571536157</v>
      </c>
      <c r="I17" s="168">
        <f t="shared" si="3"/>
        <v>46181.917800727533</v>
      </c>
      <c r="J17" s="168">
        <f t="shared" si="3"/>
        <v>50390.143665925701</v>
      </c>
      <c r="K17" s="168">
        <f t="shared" si="3"/>
        <v>59220.18552940026</v>
      </c>
      <c r="L17" s="168">
        <f t="shared" si="3"/>
        <v>75667.820063436637</v>
      </c>
      <c r="M17" s="168">
        <f t="shared" si="3"/>
        <v>102003.96196756788</v>
      </c>
      <c r="N17" s="168">
        <f t="shared" si="3"/>
        <v>138767.67888280842</v>
      </c>
      <c r="O17" s="168">
        <f t="shared" si="3"/>
        <v>180987.79810562276</v>
      </c>
      <c r="P17" s="128" t="s">
        <v>454</v>
      </c>
    </row>
    <row r="18" spans="1:17" x14ac:dyDescent="0.25">
      <c r="A18" t="s">
        <v>1449</v>
      </c>
      <c r="B18" t="s">
        <v>9</v>
      </c>
      <c r="D18" s="253" t="s">
        <v>1450</v>
      </c>
      <c r="E18" s="253" t="s">
        <v>1450</v>
      </c>
      <c r="F18" s="254">
        <v>35623</v>
      </c>
      <c r="G18" s="254">
        <v>40736</v>
      </c>
      <c r="H18" s="68"/>
      <c r="I18" s="68"/>
      <c r="J18" s="68"/>
      <c r="K18" s="68"/>
      <c r="L18" s="68"/>
      <c r="M18" s="68"/>
      <c r="N18" s="68"/>
      <c r="O18" s="68"/>
      <c r="P18" s="128" t="s">
        <v>455</v>
      </c>
    </row>
    <row r="19" spans="1:17" x14ac:dyDescent="0.25">
      <c r="A19" s="3" t="s">
        <v>114</v>
      </c>
      <c r="B19" s="3"/>
      <c r="C19" s="3"/>
      <c r="D19" s="100"/>
      <c r="E19" s="100"/>
      <c r="F19" s="100"/>
      <c r="G19" s="100"/>
      <c r="H19" s="71"/>
      <c r="I19" s="71"/>
      <c r="J19" s="71"/>
      <c r="K19" s="71"/>
      <c r="L19" s="71"/>
      <c r="M19" s="71"/>
      <c r="N19" s="71"/>
      <c r="O19" s="71"/>
      <c r="P19" s="128"/>
      <c r="Q19" s="78" t="str">
        <f>Data_Sources!$D$9&amp;" | "&amp;Data_Sources!$E$9&amp;" | "&amp;Data_Sources!$F$9</f>
        <v>Eternal Q4FY26 audited consolidated balance sheet | Annexure E | https://b.zmtcdn.com/investor-relations/Eternal_Shareholders_Letter_Q4FY26_Results.pdf</v>
      </c>
    </row>
    <row r="20" spans="1:17" x14ac:dyDescent="0.25">
      <c r="A20" s="2" t="s">
        <v>870</v>
      </c>
      <c r="D20" s="101"/>
      <c r="E20" s="101"/>
      <c r="F20" s="101"/>
      <c r="G20" s="101"/>
      <c r="H20" s="70"/>
      <c r="I20" s="70"/>
      <c r="J20" s="70"/>
      <c r="K20" s="70"/>
      <c r="L20" s="70"/>
      <c r="M20" s="70"/>
      <c r="N20" s="70"/>
      <c r="O20" s="70"/>
      <c r="P20" s="128"/>
    </row>
    <row r="21" spans="1:17" ht="30" x14ac:dyDescent="0.25">
      <c r="A21" s="3" t="s">
        <v>871</v>
      </c>
      <c r="B21" t="s">
        <v>9</v>
      </c>
      <c r="D21" s="345">
        <v>19453</v>
      </c>
      <c r="E21" s="345">
        <v>20406</v>
      </c>
      <c r="F21" s="345">
        <v>30310</v>
      </c>
      <c r="G21" s="345">
        <v>30973</v>
      </c>
      <c r="H21" s="335">
        <f>G21+IS!H29+Assumptions!H85</f>
        <v>24366.374160193562</v>
      </c>
      <c r="I21" s="335">
        <f>H21+IS!I29+Assumptions!I85</f>
        <v>17018.689650238652</v>
      </c>
      <c r="J21" s="335">
        <f>I21+IS!J29+Assumptions!J85</f>
        <v>10858.236055185273</v>
      </c>
      <c r="K21" s="335">
        <f>J21+IS!K29+Assumptions!K85</f>
        <v>8575.8183622619999</v>
      </c>
      <c r="L21" s="335">
        <f>K21+IS!L29+Assumptions!L85</f>
        <v>13194.497366228701</v>
      </c>
      <c r="M21" s="335">
        <f>L21+IS!M29+Assumptions!M85</f>
        <v>26872.436392091135</v>
      </c>
      <c r="N21" s="335">
        <f>M21+IS!N29+Assumptions!N85</f>
        <v>50707.055482376323</v>
      </c>
      <c r="O21" s="335">
        <f>N21+IS!O29+Assumptions!O85</f>
        <v>81389.195916909259</v>
      </c>
      <c r="P21" s="128" t="s">
        <v>118</v>
      </c>
    </row>
    <row r="22" spans="1:17" x14ac:dyDescent="0.25">
      <c r="A22" s="2" t="s">
        <v>872</v>
      </c>
      <c r="D22" s="101"/>
      <c r="E22" s="101"/>
      <c r="F22" s="101"/>
      <c r="G22" s="101"/>
      <c r="H22" s="70"/>
      <c r="I22" s="70"/>
      <c r="J22" s="70"/>
      <c r="K22" s="70"/>
      <c r="L22" s="70"/>
      <c r="M22" s="70"/>
      <c r="N22" s="70"/>
      <c r="O22" s="70"/>
      <c r="Q22" s="78" t="str">
        <f>Data_Sources!$D$10&amp;" | "&amp;Data_Sources!$E$10&amp;" | "&amp;Data_Sources!$F$10</f>
        <v>Eternal Q4FY26 audited consolidated balance sheet | Annexure E | https://b.zmtcdn.com/investor-relations/Eternal_Shareholders_Letter_Q4FY26_Results.pdf</v>
      </c>
    </row>
    <row r="23" spans="1:17" x14ac:dyDescent="0.25">
      <c r="A23" s="3" t="s">
        <v>873</v>
      </c>
      <c r="B23" t="s">
        <v>9</v>
      </c>
      <c r="D23" s="190">
        <f>Lease_Schedule!D14</f>
        <v>351</v>
      </c>
      <c r="E23" s="190">
        <f>Lease_Schedule!E14</f>
        <v>588</v>
      </c>
      <c r="F23" s="190">
        <f>Lease_Schedule!F14</f>
        <v>1654</v>
      </c>
      <c r="G23" s="190">
        <f>Lease_Schedule!G14</f>
        <v>3833</v>
      </c>
      <c r="H23" s="190">
        <f>Lease_Schedule!H14</f>
        <v>6391.7894781305449</v>
      </c>
      <c r="I23" s="190">
        <f>Lease_Schedule!I14</f>
        <v>9145.3645582424233</v>
      </c>
      <c r="J23" s="190">
        <f>Lease_Schedule!J14</f>
        <v>12031.831090692354</v>
      </c>
      <c r="K23" s="190">
        <f>Lease_Schedule!K14</f>
        <v>14966.813206821784</v>
      </c>
      <c r="L23" s="190">
        <f>Lease_Schedule!L14</f>
        <v>17714.720176483817</v>
      </c>
      <c r="M23" s="190">
        <f>Lease_Schedule!M14</f>
        <v>20134.390438664173</v>
      </c>
      <c r="N23" s="190">
        <f>Lease_Schedule!N14</f>
        <v>22048.120381006505</v>
      </c>
      <c r="O23" s="190">
        <f>Lease_Schedule!O14</f>
        <v>23233.963053919477</v>
      </c>
    </row>
    <row r="24" spans="1:17" x14ac:dyDescent="0.25">
      <c r="A24" t="s">
        <v>874</v>
      </c>
      <c r="B24" t="s">
        <v>9</v>
      </c>
      <c r="D24" s="93">
        <v>389</v>
      </c>
      <c r="E24" s="93">
        <v>279</v>
      </c>
      <c r="F24" s="93">
        <v>333</v>
      </c>
      <c r="G24" s="93">
        <v>258</v>
      </c>
      <c r="H24" s="151">
        <f>G24</f>
        <v>258</v>
      </c>
      <c r="I24" s="151">
        <f>G24</f>
        <v>258</v>
      </c>
      <c r="J24" s="151">
        <f>G24</f>
        <v>258</v>
      </c>
      <c r="K24" s="151">
        <f>G24</f>
        <v>258</v>
      </c>
      <c r="L24" s="151">
        <f>G24</f>
        <v>258</v>
      </c>
      <c r="M24" s="151">
        <f>G24</f>
        <v>258</v>
      </c>
      <c r="N24" s="151">
        <f>G24</f>
        <v>258</v>
      </c>
      <c r="O24" s="151">
        <f>G24</f>
        <v>258</v>
      </c>
    </row>
    <row r="25" spans="1:17" x14ac:dyDescent="0.25">
      <c r="A25" s="3" t="s">
        <v>875</v>
      </c>
      <c r="B25" s="3" t="s">
        <v>9</v>
      </c>
      <c r="C25" s="3"/>
      <c r="D25" s="168">
        <f t="shared" ref="D25:O25" si="4">SUM(D23:D24)</f>
        <v>740</v>
      </c>
      <c r="E25" s="168">
        <f t="shared" si="4"/>
        <v>867</v>
      </c>
      <c r="F25" s="168">
        <f t="shared" si="4"/>
        <v>1987</v>
      </c>
      <c r="G25" s="168">
        <f t="shared" si="4"/>
        <v>4091</v>
      </c>
      <c r="H25" s="168">
        <f t="shared" si="4"/>
        <v>6649.7894781305449</v>
      </c>
      <c r="I25" s="168">
        <f t="shared" si="4"/>
        <v>9403.3645582424233</v>
      </c>
      <c r="J25" s="168">
        <f t="shared" si="4"/>
        <v>12289.831090692354</v>
      </c>
      <c r="K25" s="168">
        <f t="shared" si="4"/>
        <v>15224.813206821784</v>
      </c>
      <c r="L25" s="168">
        <f t="shared" si="4"/>
        <v>17972.720176483817</v>
      </c>
      <c r="M25" s="168">
        <f t="shared" si="4"/>
        <v>20392.390438664173</v>
      </c>
      <c r="N25" s="168">
        <f t="shared" si="4"/>
        <v>22306.120381006505</v>
      </c>
      <c r="O25" s="168">
        <f t="shared" si="4"/>
        <v>23491.963053919477</v>
      </c>
    </row>
    <row r="26" spans="1:17" x14ac:dyDescent="0.25">
      <c r="A26" s="2" t="s">
        <v>876</v>
      </c>
      <c r="D26" s="101"/>
      <c r="E26" s="101"/>
      <c r="F26" s="101"/>
      <c r="G26" s="101"/>
      <c r="H26" s="70"/>
      <c r="I26" s="70"/>
      <c r="J26" s="70"/>
      <c r="K26" s="70"/>
      <c r="L26" s="70"/>
      <c r="M26" s="70"/>
      <c r="N26" s="70"/>
      <c r="O26" s="70"/>
      <c r="Q26" s="78" t="str">
        <f>Data_Sources!$D$10&amp;" | "&amp;Data_Sources!$E$10&amp;" | "&amp;Data_Sources!$F$10</f>
        <v>Eternal Q4FY26 audited consolidated balance sheet | Annexure E | https://b.zmtcdn.com/investor-relations/Eternal_Shareholders_Letter_Q4FY26_Results.pdf</v>
      </c>
    </row>
    <row r="27" spans="1:17" x14ac:dyDescent="0.25">
      <c r="A27" s="3" t="s">
        <v>877</v>
      </c>
      <c r="B27" t="s">
        <v>9</v>
      </c>
      <c r="D27" s="190">
        <f>Lease_Schedule!D17</f>
        <v>115</v>
      </c>
      <c r="E27" s="190">
        <f>Lease_Schedule!E17</f>
        <v>161</v>
      </c>
      <c r="F27" s="190">
        <f>Lease_Schedule!F17</f>
        <v>391</v>
      </c>
      <c r="G27" s="190">
        <f>Lease_Schedule!G17</f>
        <v>759</v>
      </c>
      <c r="H27" s="190">
        <f>Lease_Schedule!H17</f>
        <v>1265.6843761808202</v>
      </c>
      <c r="I27" s="190">
        <f>Lease_Schedule!I17</f>
        <v>1810.9396555455255</v>
      </c>
      <c r="J27" s="190">
        <f>Lease_Schedule!J17</f>
        <v>2382.5097307162787</v>
      </c>
      <c r="K27" s="190">
        <f>Lease_Schedule!K17</f>
        <v>2963.6867268400033</v>
      </c>
      <c r="L27" s="190">
        <f>Lease_Schedule!L17</f>
        <v>3507.8196227370772</v>
      </c>
      <c r="M27" s="190">
        <f>Lease_Schedule!M17</f>
        <v>3986.9559986814788</v>
      </c>
      <c r="N27" s="190">
        <f>Lease_Schedule!N17</f>
        <v>4365.9074795679462</v>
      </c>
      <c r="O27" s="190">
        <f>Lease_Schedule!O17</f>
        <v>4600.7247476975954</v>
      </c>
    </row>
    <row r="28" spans="1:17" x14ac:dyDescent="0.25">
      <c r="A28" t="s">
        <v>878</v>
      </c>
      <c r="B28" t="s">
        <v>9</v>
      </c>
      <c r="D28" s="190">
        <f>WC_Schedule!D18</f>
        <v>679</v>
      </c>
      <c r="E28" s="190">
        <f>WC_Schedule!E18</f>
        <v>886</v>
      </c>
      <c r="F28" s="190">
        <f>WC_Schedule!F18</f>
        <v>1536</v>
      </c>
      <c r="G28" s="190">
        <f>WC_Schedule!G18</f>
        <v>3010</v>
      </c>
      <c r="H28" s="190">
        <f>WC_Schedule!H18</f>
        <v>8234.684087671234</v>
      </c>
      <c r="I28" s="190">
        <f>WC_Schedule!I18</f>
        <v>11763.961350684933</v>
      </c>
      <c r="J28" s="190">
        <f>WC_Schedule!J18</f>
        <v>16465.113689260277</v>
      </c>
      <c r="K28" s="190">
        <f>WC_Schedule!K18</f>
        <v>21496.598164964384</v>
      </c>
      <c r="L28" s="190">
        <f>WC_Schedule!L18</f>
        <v>27145.720501461925</v>
      </c>
      <c r="M28" s="190">
        <f>WC_Schedule!M18</f>
        <v>33670.570782046685</v>
      </c>
      <c r="N28" s="190">
        <f>WC_Schedule!N18</f>
        <v>40679.580965068446</v>
      </c>
      <c r="O28" s="190">
        <f>WC_Schedule!O18</f>
        <v>47421.851821095835</v>
      </c>
    </row>
    <row r="29" spans="1:17" x14ac:dyDescent="0.25">
      <c r="A29" s="3" t="s">
        <v>879</v>
      </c>
      <c r="B29" t="s">
        <v>9</v>
      </c>
      <c r="D29" s="190">
        <f>WC_Schedule!D19</f>
        <v>612</v>
      </c>
      <c r="E29" s="190">
        <f>WC_Schedule!E19</f>
        <v>1036</v>
      </c>
      <c r="F29" s="190">
        <f>WC_Schedule!F19</f>
        <v>1399</v>
      </c>
      <c r="G29" s="190">
        <f>WC_Schedule!G19</f>
        <v>1888</v>
      </c>
      <c r="H29" s="190">
        <f>WC_Schedule!H19</f>
        <v>4438.5844693600002</v>
      </c>
      <c r="I29" s="190">
        <f>WC_Schedule!I19</f>
        <v>6169.9625860159995</v>
      </c>
      <c r="J29" s="190">
        <f>WC_Schedule!J19</f>
        <v>8379.4531000715197</v>
      </c>
      <c r="K29" s="190">
        <f>WC_Schedule!K19</f>
        <v>10944.269068512096</v>
      </c>
      <c r="L29" s="190">
        <f>WC_Schedule!L19</f>
        <v>13832.062396525122</v>
      </c>
      <c r="M29" s="190">
        <f>WC_Schedule!M19</f>
        <v>17066.608356084398</v>
      </c>
      <c r="N29" s="190">
        <f>WC_Schedule!N19</f>
        <v>20694.014574789206</v>
      </c>
      <c r="O29" s="190">
        <f>WC_Schedule!O19</f>
        <v>24069.062566000586</v>
      </c>
    </row>
    <row r="30" spans="1:17" x14ac:dyDescent="0.25">
      <c r="A30" s="3" t="s">
        <v>880</v>
      </c>
      <c r="B30" s="3" t="s">
        <v>9</v>
      </c>
      <c r="C30" s="3"/>
      <c r="D30" s="168">
        <f t="shared" ref="D30:O30" si="5">SUM(D27:D29)</f>
        <v>1406</v>
      </c>
      <c r="E30" s="168">
        <f t="shared" si="5"/>
        <v>2083</v>
      </c>
      <c r="F30" s="168">
        <f t="shared" si="5"/>
        <v>3326</v>
      </c>
      <c r="G30" s="168">
        <f t="shared" si="5"/>
        <v>5657</v>
      </c>
      <c r="H30" s="168">
        <f t="shared" si="5"/>
        <v>13938.952933212055</v>
      </c>
      <c r="I30" s="168">
        <f t="shared" si="5"/>
        <v>19744.86359224646</v>
      </c>
      <c r="J30" s="168">
        <f t="shared" si="5"/>
        <v>27227.076520048075</v>
      </c>
      <c r="K30" s="168">
        <f t="shared" si="5"/>
        <v>35404.55396031648</v>
      </c>
      <c r="L30" s="168">
        <f t="shared" si="5"/>
        <v>44485.602520724125</v>
      </c>
      <c r="M30" s="168">
        <f t="shared" si="5"/>
        <v>54724.135136812562</v>
      </c>
      <c r="N30" s="168">
        <f t="shared" si="5"/>
        <v>65739.503019425596</v>
      </c>
      <c r="O30" s="168">
        <f t="shared" si="5"/>
        <v>76091.639134794023</v>
      </c>
    </row>
    <row r="31" spans="1:17" x14ac:dyDescent="0.25">
      <c r="A31" s="3" t="s">
        <v>117</v>
      </c>
      <c r="B31" s="3" t="s">
        <v>9</v>
      </c>
      <c r="C31" s="3"/>
      <c r="D31" s="168">
        <f t="shared" ref="D31:O31" si="6">D21+D25+D30</f>
        <v>21599</v>
      </c>
      <c r="E31" s="168">
        <f t="shared" si="6"/>
        <v>23356</v>
      </c>
      <c r="F31" s="168">
        <f t="shared" si="6"/>
        <v>35623</v>
      </c>
      <c r="G31" s="168">
        <f t="shared" si="6"/>
        <v>40721</v>
      </c>
      <c r="H31" s="168">
        <f t="shared" si="6"/>
        <v>44955.116571536157</v>
      </c>
      <c r="I31" s="168">
        <f t="shared" si="6"/>
        <v>46166.917800727533</v>
      </c>
      <c r="J31" s="168">
        <f t="shared" si="6"/>
        <v>50375.143665925701</v>
      </c>
      <c r="K31" s="168">
        <f t="shared" si="6"/>
        <v>59205.18552940026</v>
      </c>
      <c r="L31" s="168">
        <f t="shared" si="6"/>
        <v>75652.820063436637</v>
      </c>
      <c r="M31" s="168">
        <f t="shared" si="6"/>
        <v>101988.96196756787</v>
      </c>
      <c r="N31" s="168">
        <f t="shared" si="6"/>
        <v>138752.67888280842</v>
      </c>
      <c r="O31" s="168">
        <f t="shared" si="6"/>
        <v>180972.79810562276</v>
      </c>
    </row>
    <row r="33" spans="1:15" x14ac:dyDescent="0.25">
      <c r="A33" s="3" t="s">
        <v>1452</v>
      </c>
      <c r="B33" t="s">
        <v>9</v>
      </c>
      <c r="D33" s="151">
        <f>ROUND(D17-D31,2)</f>
        <v>0</v>
      </c>
      <c r="E33" s="151">
        <f>ROUND(E17-E31,2)</f>
        <v>0</v>
      </c>
      <c r="F33" s="151">
        <f>ROUND(F17-F31,2)</f>
        <v>0</v>
      </c>
      <c r="G33" s="151">
        <f>ROUND(G17-G31,2)</f>
        <v>15</v>
      </c>
      <c r="H33" s="151">
        <f>ROUND(H17-H31,2)</f>
        <v>15</v>
      </c>
      <c r="I33" s="151">
        <f>ROUND(I17-I31,2)</f>
        <v>15</v>
      </c>
      <c r="J33" s="151">
        <f>ROUND(J17-J31,2)</f>
        <v>15</v>
      </c>
      <c r="K33" s="151">
        <f>ROUND(K17-K31,2)</f>
        <v>15</v>
      </c>
      <c r="L33" s="151">
        <f>ROUND(L17-L31,2)</f>
        <v>15</v>
      </c>
      <c r="M33" s="151">
        <f>ROUND(M17-M31,2)</f>
        <v>15</v>
      </c>
      <c r="N33" s="151">
        <f>ROUND(N17-N31,2)</f>
        <v>15</v>
      </c>
      <c r="O33" s="151">
        <f>ROUND(O17-O31,2)</f>
        <v>15</v>
      </c>
    </row>
    <row r="34" spans="1:15" x14ac:dyDescent="0.25">
      <c r="A34" t="s">
        <v>1453</v>
      </c>
      <c r="B34" t="s">
        <v>9</v>
      </c>
      <c r="D34" s="65"/>
      <c r="E34" s="151">
        <f>ROUND(E33-D33,2)</f>
        <v>0</v>
      </c>
      <c r="F34" s="151">
        <f>ROUND(F33-E33,2)</f>
        <v>0</v>
      </c>
      <c r="G34" s="151">
        <f>ROUND(G33-F33,2)</f>
        <v>15</v>
      </c>
      <c r="H34" s="151">
        <f>ROUND(H33-G33,2)</f>
        <v>0</v>
      </c>
      <c r="I34" s="151">
        <f>ROUND(I33-H33,2)</f>
        <v>0</v>
      </c>
      <c r="J34" s="151">
        <f>ROUND(J33-I33,2)</f>
        <v>0</v>
      </c>
      <c r="K34" s="151">
        <f>ROUND(K33-J33,2)</f>
        <v>0</v>
      </c>
      <c r="L34" s="151">
        <f>ROUND(L33-K33,2)</f>
        <v>0</v>
      </c>
      <c r="M34" s="151">
        <f>ROUND(M33-L33,2)</f>
        <v>0</v>
      </c>
      <c r="N34" s="151">
        <f>ROUND(N33-M33,2)</f>
        <v>0</v>
      </c>
      <c r="O34" s="151">
        <f>ROUND(O33-N33,2)</f>
        <v>0</v>
      </c>
    </row>
    <row r="35" spans="1:15" x14ac:dyDescent="0.25">
      <c r="A35" s="3" t="s">
        <v>881</v>
      </c>
      <c r="B35" s="3"/>
      <c r="C35" s="3"/>
      <c r="D35" s="3"/>
      <c r="E35" s="3"/>
      <c r="F35" s="3"/>
      <c r="G35" s="3"/>
      <c r="H35" s="3"/>
      <c r="I35" s="3"/>
      <c r="J35" s="3"/>
      <c r="K35" s="3"/>
      <c r="L35" s="3"/>
      <c r="M35" s="3"/>
      <c r="N35" s="3"/>
      <c r="O35" s="3"/>
    </row>
    <row r="36" spans="1:15" x14ac:dyDescent="0.25">
      <c r="A36" t="s">
        <v>882</v>
      </c>
      <c r="B36" t="s">
        <v>9</v>
      </c>
      <c r="D36" s="151">
        <f t="shared" ref="D36:O36" si="7">(D12+D13+D14)-(D28+D29)</f>
        <v>4038</v>
      </c>
      <c r="E36" s="151">
        <f t="shared" si="7"/>
        <v>1525</v>
      </c>
      <c r="F36" s="151">
        <f t="shared" si="7"/>
        <v>4900</v>
      </c>
      <c r="G36" s="151">
        <f t="shared" si="7"/>
        <v>4188</v>
      </c>
      <c r="H36" s="151">
        <f t="shared" si="7"/>
        <v>8662.4075382317787</v>
      </c>
      <c r="I36" s="151">
        <f t="shared" si="7"/>
        <v>11723.670111593859</v>
      </c>
      <c r="J36" s="151">
        <f t="shared" si="7"/>
        <v>13806.718879197339</v>
      </c>
      <c r="K36" s="151">
        <f t="shared" si="7"/>
        <v>18035.546597353365</v>
      </c>
      <c r="L36" s="151">
        <f t="shared" si="7"/>
        <v>22087.992330299028</v>
      </c>
      <c r="M36" s="151">
        <f t="shared" si="7"/>
        <v>27187.933979495872</v>
      </c>
      <c r="N36" s="151">
        <f t="shared" si="7"/>
        <v>33020.898740913297</v>
      </c>
      <c r="O36" s="151">
        <f t="shared" si="7"/>
        <v>38366.689200260327</v>
      </c>
    </row>
    <row r="37" spans="1:15" x14ac:dyDescent="0.25">
      <c r="A37" s="3" t="s">
        <v>883</v>
      </c>
      <c r="B37" t="s">
        <v>217</v>
      </c>
      <c r="D37" s="348">
        <f t="shared" ref="D37:O37" si="8">IFERROR(D16/D30,"")</f>
        <v>11.84352773826458</v>
      </c>
      <c r="E37" s="348">
        <f t="shared" si="8"/>
        <v>7.531445031204993</v>
      </c>
      <c r="F37" s="348">
        <f t="shared" si="8"/>
        <v>7.408598917618761</v>
      </c>
      <c r="G37" s="348">
        <f t="shared" si="8"/>
        <v>4.7831005833480642</v>
      </c>
      <c r="H37" s="348">
        <f t="shared" si="8"/>
        <v>1.9351028534304024</v>
      </c>
      <c r="I37" s="348">
        <f t="shared" si="8"/>
        <v>1.2296357994596805</v>
      </c>
      <c r="J37" s="348">
        <f t="shared" si="8"/>
        <v>0.91287567286617322</v>
      </c>
      <c r="K37" s="348">
        <f t="shared" si="8"/>
        <v>0.85390869475934927</v>
      </c>
      <c r="L37" s="348">
        <f t="shared" si="8"/>
        <v>0.98004534820504186</v>
      </c>
      <c r="M37" s="348">
        <f t="shared" si="8"/>
        <v>1.2268052452470919</v>
      </c>
      <c r="N37" s="348">
        <f t="shared" si="8"/>
        <v>1.5414581788076422</v>
      </c>
      <c r="O37" s="348">
        <f t="shared" si="8"/>
        <v>1.8556910436717493</v>
      </c>
    </row>
    <row r="38" spans="1:15" x14ac:dyDescent="0.25">
      <c r="A38" t="s">
        <v>884</v>
      </c>
      <c r="B38" t="s">
        <v>9</v>
      </c>
      <c r="D38" s="151">
        <f t="shared" ref="D38:O38" si="9">D15-D23-D27</f>
        <v>10857</v>
      </c>
      <c r="E38" s="151">
        <f t="shared" si="9"/>
        <v>11492</v>
      </c>
      <c r="F38" s="151">
        <f t="shared" si="9"/>
        <v>14761</v>
      </c>
      <c r="G38" s="151">
        <f t="shared" si="9"/>
        <v>13380</v>
      </c>
      <c r="H38" s="151">
        <f t="shared" si="9"/>
        <v>-2019.8423546836545</v>
      </c>
      <c r="I38" s="151">
        <f t="shared" si="9"/>
        <v>-16334.907133608427</v>
      </c>
      <c r="J38" s="151">
        <f t="shared" si="9"/>
        <v>-28210.690691520096</v>
      </c>
      <c r="K38" s="151">
        <f t="shared" si="9"/>
        <v>-38174.657303700835</v>
      </c>
      <c r="L38" s="151">
        <f t="shared" si="9"/>
        <v>-40690.407214972809</v>
      </c>
      <c r="M38" s="151">
        <f t="shared" si="9"/>
        <v>-34910.603527520281</v>
      </c>
      <c r="N38" s="151">
        <f t="shared" si="9"/>
        <v>-19473.827541302111</v>
      </c>
      <c r="O38" s="151">
        <f t="shared" si="9"/>
        <v>3510.281851766229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6E3E-4C5F-4BC8-8CED-EAD734EBC5C0}">
  <dimension ref="A1:Q35"/>
  <sheetViews>
    <sheetView tabSelected="1" zoomScale="60" zoomScaleNormal="60" workbookViewId="0">
      <pane xSplit="2" topLeftCell="C1" activePane="topRight" state="frozen"/>
      <selection activeCell="A10" sqref="A10"/>
      <selection pane="topRight" activeCell="I25" sqref="I25"/>
    </sheetView>
  </sheetViews>
  <sheetFormatPr defaultRowHeight="15" x14ac:dyDescent="0.25"/>
  <cols>
    <col min="1" max="1" width="47.28515625" customWidth="1"/>
    <col min="2" max="5" width="10.85546875" customWidth="1"/>
    <col min="6" max="15" width="14.140625" customWidth="1"/>
    <col min="16" max="16" width="76.42578125" style="24" customWidth="1"/>
    <col min="17" max="17" width="47.28515625" customWidth="1"/>
  </cols>
  <sheetData>
    <row r="1" spans="1:17" ht="18.75" x14ac:dyDescent="0.3">
      <c r="A1" s="5" t="s">
        <v>1456</v>
      </c>
      <c r="Q1" s="3" t="s">
        <v>893</v>
      </c>
    </row>
    <row r="2" spans="1:17" x14ac:dyDescent="0.25">
      <c r="A2" s="4" t="s">
        <v>75</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3" t="s">
        <v>763</v>
      </c>
      <c r="B4" s="3" t="s">
        <v>9</v>
      </c>
      <c r="C4" s="3"/>
      <c r="D4" s="29"/>
      <c r="E4" s="29"/>
      <c r="F4" s="29"/>
      <c r="G4" s="29"/>
      <c r="H4" s="96"/>
      <c r="I4" s="96"/>
      <c r="J4" s="96"/>
      <c r="K4" s="96"/>
      <c r="L4" s="96"/>
      <c r="M4" s="96"/>
      <c r="N4" s="96"/>
      <c r="O4" s="96"/>
      <c r="Q4" s="78" t="str">
        <f>Data_Sources!$D$17&amp;" | "&amp;Data_Sources!$E$17&amp;" | "&amp;Data_Sources!$F$17</f>
        <v>Eternal Q4FY26 shareholders' letter | Annexure A — cash (burn) / surplus bridge | https://b.zmtcdn.com/investor-relations/Eternal_Shareholders_Letter_Q4FY26_Results.pdf</v>
      </c>
    </row>
    <row r="5" spans="1:17" x14ac:dyDescent="0.25">
      <c r="A5" t="s">
        <v>764</v>
      </c>
      <c r="B5" t="s">
        <v>9</v>
      </c>
      <c r="D5" s="190">
        <f>IS!D6</f>
        <v>7079</v>
      </c>
      <c r="E5" s="190">
        <f>IS!E6</f>
        <v>12114</v>
      </c>
      <c r="F5" s="190">
        <f>IS!F6</f>
        <v>20243</v>
      </c>
      <c r="G5" s="190">
        <f>IS!G6</f>
        <v>54364</v>
      </c>
      <c r="H5" s="190">
        <f>IS!H6</f>
        <v>130546.60204</v>
      </c>
      <c r="I5" s="190">
        <f>IS!I6</f>
        <v>181469.48782399998</v>
      </c>
      <c r="J5" s="190">
        <f>IS!J6</f>
        <v>246454.50294327998</v>
      </c>
      <c r="K5" s="190">
        <f>IS!K6</f>
        <v>321890.26672094397</v>
      </c>
      <c r="L5" s="190">
        <f>IS!L6</f>
        <v>406825.36460368003</v>
      </c>
      <c r="M5" s="190">
        <f>IS!M6</f>
        <v>501959.06929659995</v>
      </c>
      <c r="N5" s="190">
        <f>IS!N6</f>
        <v>608647.48749380012</v>
      </c>
      <c r="O5" s="190">
        <f>IS!O6</f>
        <v>707913.6048823701</v>
      </c>
    </row>
    <row r="6" spans="1:17" x14ac:dyDescent="0.25">
      <c r="A6" t="s">
        <v>962</v>
      </c>
      <c r="B6" t="s">
        <v>9</v>
      </c>
      <c r="D6" s="190">
        <f>IS!D26</f>
        <v>-1014</v>
      </c>
      <c r="E6" s="190">
        <f>IS!E26</f>
        <v>291</v>
      </c>
      <c r="F6" s="190">
        <f>IS!F26</f>
        <v>697</v>
      </c>
      <c r="G6" s="190">
        <f>IS!G26</f>
        <v>615</v>
      </c>
      <c r="H6" s="190">
        <f>IS!H26</f>
        <v>-7456.6258398064401</v>
      </c>
      <c r="I6" s="190">
        <f>IS!I26</f>
        <v>-8227.68450995491</v>
      </c>
      <c r="J6" s="190">
        <f>IS!J26</f>
        <v>-7060.4535950533782</v>
      </c>
      <c r="K6" s="190">
        <f>IS!K26</f>
        <v>-3202.4176929232726</v>
      </c>
      <c r="L6" s="190">
        <f>IS!L26</f>
        <v>3678.6790039667012</v>
      </c>
      <c r="M6" s="190">
        <f>IS!M26</f>
        <v>12717.939025862432</v>
      </c>
      <c r="N6" s="190">
        <f>IS!N26</f>
        <v>27329.603407957409</v>
      </c>
      <c r="O6" s="190">
        <f>IS!O26</f>
        <v>39666.097066060305</v>
      </c>
    </row>
    <row r="7" spans="1:17" x14ac:dyDescent="0.25">
      <c r="A7" t="s">
        <v>963</v>
      </c>
      <c r="B7" t="s">
        <v>9</v>
      </c>
      <c r="D7" s="190">
        <f>-IS!D19</f>
        <v>437</v>
      </c>
      <c r="E7" s="190">
        <f>-IS!E19</f>
        <v>526</v>
      </c>
      <c r="F7" s="190">
        <f>-IS!F19</f>
        <v>863</v>
      </c>
      <c r="G7" s="190">
        <f>-IS!G19</f>
        <v>1597</v>
      </c>
      <c r="H7" s="190">
        <f>-IS!H19</f>
        <v>2838.1476263269637</v>
      </c>
      <c r="I7" s="190">
        <f>-IS!I19</f>
        <v>4122.4037796161083</v>
      </c>
      <c r="J7" s="190">
        <f>-IS!J19</f>
        <v>5286.473672633786</v>
      </c>
      <c r="K7" s="190">
        <f>-IS!K19</f>
        <v>6369.0035593033981</v>
      </c>
      <c r="L7" s="190">
        <f>-IS!L19</f>
        <v>7359.1977890453609</v>
      </c>
      <c r="M7" s="190">
        <f>-IS!M19</f>
        <v>8244.513953323336</v>
      </c>
      <c r="N7" s="190">
        <f>-IS!N19</f>
        <v>9047.8973128900689</v>
      </c>
      <c r="O7" s="190">
        <f>-IS!O19</f>
        <v>9782.1130692337047</v>
      </c>
    </row>
    <row r="8" spans="1:17" x14ac:dyDescent="0.25">
      <c r="A8" t="s">
        <v>964</v>
      </c>
      <c r="B8" t="s">
        <v>9</v>
      </c>
      <c r="D8" s="190">
        <f>-IS!D24</f>
        <v>49</v>
      </c>
      <c r="E8" s="190">
        <f>-IS!E24</f>
        <v>72</v>
      </c>
      <c r="F8" s="190">
        <f>-IS!F24</f>
        <v>154</v>
      </c>
      <c r="G8" s="190">
        <f>-IS!G24</f>
        <v>392</v>
      </c>
      <c r="H8" s="190">
        <f>-IS!H24</f>
        <v>495.51725133896662</v>
      </c>
      <c r="I8" s="190">
        <f>-IS!I24</f>
        <v>826.30888425269382</v>
      </c>
      <c r="J8" s="190">
        <f>-IS!J24</f>
        <v>1182.2817397320866</v>
      </c>
      <c r="K8" s="190">
        <f>-IS!K24</f>
        <v>1555.4343518483163</v>
      </c>
      <c r="L8" s="190">
        <f>-IS!L24</f>
        <v>1934.8588942207343</v>
      </c>
      <c r="M8" s="190">
        <f>-IS!M24</f>
        <v>2290.0989955883629</v>
      </c>
      <c r="N8" s="190">
        <f>-IS!N24</f>
        <v>2602.9057676891321</v>
      </c>
      <c r="O8" s="190">
        <f>-IS!O24</f>
        <v>2850.3062896913625</v>
      </c>
    </row>
    <row r="9" spans="1:17" x14ac:dyDescent="0.25">
      <c r="A9" t="s">
        <v>965</v>
      </c>
      <c r="B9" t="s">
        <v>9</v>
      </c>
      <c r="D9" s="190">
        <f>-IS!D23</f>
        <v>-682</v>
      </c>
      <c r="E9" s="190">
        <f>-IS!E23</f>
        <v>-847</v>
      </c>
      <c r="F9" s="190">
        <f>-IS!F23</f>
        <v>-1077</v>
      </c>
      <c r="G9" s="190">
        <f>-IS!G23</f>
        <v>-1396</v>
      </c>
      <c r="H9" s="190">
        <f>-IS!H23</f>
        <v>-1168.18</v>
      </c>
      <c r="I9" s="190">
        <f>-IS!I23</f>
        <v>-366.44604747580121</v>
      </c>
      <c r="J9" s="190">
        <f>-IS!J23</f>
        <v>349.60918978833109</v>
      </c>
      <c r="K9" s="190">
        <f>-IS!K23</f>
        <v>896.76274155724502</v>
      </c>
      <c r="L9" s="190">
        <f>-IS!L23</f>
        <v>1315.8702290525382</v>
      </c>
      <c r="M9" s="190">
        <f>-IS!M23</f>
        <v>1265.4113820238745</v>
      </c>
      <c r="N9" s="190">
        <f>-IS!N23</f>
        <v>701.30171086135067</v>
      </c>
      <c r="O9" s="190">
        <f>-IS!O23</f>
        <v>-451.11302075270203</v>
      </c>
    </row>
    <row r="10" spans="1:17" x14ac:dyDescent="0.25">
      <c r="A10" t="s">
        <v>1447</v>
      </c>
      <c r="B10" t="s">
        <v>9</v>
      </c>
      <c r="D10" s="190">
        <f>N('ESOP Schedule'!C5)</f>
        <v>0</v>
      </c>
      <c r="E10" s="190">
        <f>N('ESOP Schedule'!D5)</f>
        <v>515</v>
      </c>
      <c r="F10" s="190">
        <f>N('ESOP Schedule'!E5)</f>
        <v>798</v>
      </c>
      <c r="G10" s="190">
        <f>N('ESOP Schedule'!F5)</f>
        <v>819</v>
      </c>
      <c r="H10" s="190">
        <f>N('ESOP Schedule'!G5)</f>
        <v>850</v>
      </c>
      <c r="I10" s="190">
        <f>N('ESOP Schedule'!H5)</f>
        <v>880</v>
      </c>
      <c r="J10" s="190">
        <f>N('ESOP Schedule'!I5)</f>
        <v>900</v>
      </c>
      <c r="K10" s="190">
        <f>N('ESOP Schedule'!J5)</f>
        <v>920</v>
      </c>
      <c r="L10" s="190">
        <f>N('ESOP Schedule'!K5)</f>
        <v>940</v>
      </c>
      <c r="M10" s="190">
        <f>N('ESOP Schedule'!L5)</f>
        <v>960</v>
      </c>
      <c r="N10" s="190">
        <f>N('ESOP Schedule'!M5)</f>
        <v>980</v>
      </c>
      <c r="O10" s="190">
        <f>N('ESOP Schedule'!N5)</f>
        <v>1000</v>
      </c>
    </row>
    <row r="11" spans="1:17" ht="30" x14ac:dyDescent="0.25">
      <c r="A11" t="s">
        <v>966</v>
      </c>
      <c r="B11" t="s">
        <v>9</v>
      </c>
      <c r="D11" s="151">
        <f>SUM(D6:D10)</f>
        <v>-1210</v>
      </c>
      <c r="E11" s="151">
        <f>SUM(E6:E10)</f>
        <v>557</v>
      </c>
      <c r="F11" s="151">
        <f>SUM(F6:F10)</f>
        <v>1435</v>
      </c>
      <c r="G11" s="151">
        <f>SUM(G6:G10)</f>
        <v>2027</v>
      </c>
      <c r="H11" s="151">
        <f>SUM(H6:H10)</f>
        <v>-4441.140962140511</v>
      </c>
      <c r="I11" s="151">
        <f>SUM(I6:I10)</f>
        <v>-2765.4178935619088</v>
      </c>
      <c r="J11" s="151">
        <f>SUM(J6:J10)</f>
        <v>657.9110071008256</v>
      </c>
      <c r="K11" s="151">
        <f>SUM(K6:K10)</f>
        <v>6538.7829597856871</v>
      </c>
      <c r="L11" s="151">
        <f>SUM(L6:L10)</f>
        <v>15228.605916285336</v>
      </c>
      <c r="M11" s="151">
        <f>SUM(M6:M10)</f>
        <v>25477.963356798005</v>
      </c>
      <c r="N11" s="151">
        <f>SUM(N6:N10)</f>
        <v>40661.708199397959</v>
      </c>
      <c r="O11" s="151">
        <f>SUM(O6:O10)</f>
        <v>52847.403404232668</v>
      </c>
      <c r="P11" s="128" t="s">
        <v>447</v>
      </c>
    </row>
    <row r="12" spans="1:17" x14ac:dyDescent="0.25">
      <c r="A12" t="s">
        <v>967</v>
      </c>
      <c r="B12" t="s">
        <v>13</v>
      </c>
      <c r="D12" s="259">
        <f t="shared" ref="D12:O12" si="0">IFERROR(D11/D5,"")</f>
        <v>-0.17092809718886848</v>
      </c>
      <c r="E12" s="259">
        <f t="shared" si="0"/>
        <v>4.5979858015519237E-2</v>
      </c>
      <c r="F12" s="259">
        <f t="shared" si="0"/>
        <v>7.0888702267450476E-2</v>
      </c>
      <c r="G12" s="259">
        <f t="shared" si="0"/>
        <v>3.7285703774556693E-2</v>
      </c>
      <c r="H12" s="259">
        <f t="shared" si="0"/>
        <v>-3.4019582989833222E-2</v>
      </c>
      <c r="I12" s="259">
        <f t="shared" si="0"/>
        <v>-1.5239024073534484E-2</v>
      </c>
      <c r="J12" s="259">
        <f t="shared" si="0"/>
        <v>2.6695028869171845E-3</v>
      </c>
      <c r="K12" s="259">
        <f t="shared" si="0"/>
        <v>2.0313702015272019E-2</v>
      </c>
      <c r="L12" s="259">
        <f t="shared" si="0"/>
        <v>3.7432783796852727E-2</v>
      </c>
      <c r="M12" s="259">
        <f t="shared" si="0"/>
        <v>5.0757053543231165E-2</v>
      </c>
      <c r="N12" s="259">
        <f t="shared" si="0"/>
        <v>6.6806664013070713E-2</v>
      </c>
      <c r="O12" s="259">
        <f t="shared" si="0"/>
        <v>7.4652334747845411E-2</v>
      </c>
      <c r="P12" s="128"/>
    </row>
    <row r="13" spans="1:17" x14ac:dyDescent="0.25">
      <c r="A13" t="s">
        <v>765</v>
      </c>
      <c r="B13" t="s">
        <v>9</v>
      </c>
      <c r="D13" s="255" t="s">
        <v>1450</v>
      </c>
      <c r="E13" s="255" t="s">
        <v>1450</v>
      </c>
      <c r="F13" s="255" t="s">
        <v>1450</v>
      </c>
      <c r="G13" s="255" t="s">
        <v>1450</v>
      </c>
      <c r="H13" s="190">
        <f>IS!H27</f>
        <v>0</v>
      </c>
      <c r="I13" s="190">
        <f>IS!I27</f>
        <v>0</v>
      </c>
      <c r="J13" s="190">
        <f>IS!J27</f>
        <v>0</v>
      </c>
      <c r="K13" s="190">
        <f>IS!K27</f>
        <v>0</v>
      </c>
      <c r="L13" s="190">
        <f>IS!L27</f>
        <v>0</v>
      </c>
      <c r="M13" s="190">
        <f>IS!M27</f>
        <v>0</v>
      </c>
      <c r="N13" s="190">
        <f>IS!N27</f>
        <v>-4474.9843176722179</v>
      </c>
      <c r="O13" s="190">
        <f>IS!O27</f>
        <v>-9983.9566315273787</v>
      </c>
      <c r="P13" s="128"/>
    </row>
    <row r="14" spans="1:17" x14ac:dyDescent="0.25">
      <c r="A14" t="s">
        <v>766</v>
      </c>
      <c r="B14" t="s">
        <v>9</v>
      </c>
      <c r="D14" s="98"/>
      <c r="E14" s="93">
        <v>118</v>
      </c>
      <c r="F14" s="93">
        <v>-1093</v>
      </c>
      <c r="G14" s="93">
        <v>-1228</v>
      </c>
      <c r="H14" s="190">
        <f>-WC_Schedule!H24</f>
        <v>-4474.4075382317787</v>
      </c>
      <c r="I14" s="190">
        <f>-WC_Schedule!I24</f>
        <v>-3061.2625733620807</v>
      </c>
      <c r="J14" s="190">
        <f>-WC_Schedule!J24</f>
        <v>-2083.0487676034791</v>
      </c>
      <c r="K14" s="190">
        <f>-WC_Schedule!K24</f>
        <v>-4228.8277181560261</v>
      </c>
      <c r="L14" s="190">
        <f>-WC_Schedule!L24</f>
        <v>-4052.4457329456636</v>
      </c>
      <c r="M14" s="190">
        <f>-WC_Schedule!M24</f>
        <v>-5099.9416491968441</v>
      </c>
      <c r="N14" s="190">
        <f>-WC_Schedule!N24</f>
        <v>-5832.9647614174246</v>
      </c>
      <c r="O14" s="190">
        <f>-WC_Schedule!O24</f>
        <v>-5345.7904593470303</v>
      </c>
    </row>
    <row r="15" spans="1:17" x14ac:dyDescent="0.25">
      <c r="A15" s="74" t="s">
        <v>767</v>
      </c>
      <c r="B15" t="s">
        <v>9</v>
      </c>
      <c r="D15" s="98"/>
      <c r="E15" s="93">
        <v>13</v>
      </c>
      <c r="F15" s="93">
        <v>276</v>
      </c>
      <c r="G15" s="93">
        <v>-20</v>
      </c>
      <c r="H15" s="190">
        <f>Assumptions!H97</f>
        <v>0</v>
      </c>
      <c r="I15" s="190">
        <f>Assumptions!I97</f>
        <v>0</v>
      </c>
      <c r="J15" s="190">
        <f>Assumptions!J97</f>
        <v>0</v>
      </c>
      <c r="K15" s="190">
        <f>Assumptions!K97</f>
        <v>0</v>
      </c>
      <c r="L15" s="190">
        <f>Assumptions!L97</f>
        <v>0</v>
      </c>
      <c r="M15" s="190">
        <f>Assumptions!M97</f>
        <v>0</v>
      </c>
      <c r="N15" s="190">
        <f>Assumptions!N97</f>
        <v>0</v>
      </c>
      <c r="O15" s="190">
        <f>Assumptions!O97</f>
        <v>0</v>
      </c>
    </row>
    <row r="16" spans="1:17" x14ac:dyDescent="0.25">
      <c r="A16" s="3" t="s">
        <v>768</v>
      </c>
      <c r="B16" s="3" t="s">
        <v>9</v>
      </c>
      <c r="C16" s="3"/>
      <c r="D16" s="168">
        <f t="shared" ref="D16:O16" si="1">SUM(D11,D13:D15)</f>
        <v>-1210</v>
      </c>
      <c r="E16" s="168">
        <f t="shared" si="1"/>
        <v>688</v>
      </c>
      <c r="F16" s="168">
        <f t="shared" si="1"/>
        <v>618</v>
      </c>
      <c r="G16" s="168">
        <f t="shared" si="1"/>
        <v>779</v>
      </c>
      <c r="H16" s="168">
        <f t="shared" si="1"/>
        <v>-8915.5485003722897</v>
      </c>
      <c r="I16" s="168">
        <f t="shared" si="1"/>
        <v>-5826.68046692399</v>
      </c>
      <c r="J16" s="168">
        <f t="shared" si="1"/>
        <v>-1425.1377605026535</v>
      </c>
      <c r="K16" s="168">
        <f t="shared" si="1"/>
        <v>2309.955241629661</v>
      </c>
      <c r="L16" s="168">
        <f t="shared" si="1"/>
        <v>11176.160183339673</v>
      </c>
      <c r="M16" s="168">
        <f t="shared" si="1"/>
        <v>20378.021707601161</v>
      </c>
      <c r="N16" s="168">
        <f t="shared" si="1"/>
        <v>30353.759120308314</v>
      </c>
      <c r="O16" s="168">
        <f t="shared" si="1"/>
        <v>37517.65631335826</v>
      </c>
    </row>
    <row r="17" spans="1:17" x14ac:dyDescent="0.25">
      <c r="D17" s="99"/>
      <c r="E17" s="99"/>
      <c r="F17" s="99"/>
      <c r="G17" s="99"/>
      <c r="H17" s="68"/>
      <c r="I17" s="68"/>
      <c r="J17" s="68"/>
      <c r="K17" s="68"/>
      <c r="L17" s="68"/>
      <c r="M17" s="68"/>
      <c r="N17" s="68"/>
      <c r="O17" s="68"/>
    </row>
    <row r="18" spans="1:17" x14ac:dyDescent="0.25">
      <c r="A18" s="3" t="s">
        <v>769</v>
      </c>
      <c r="B18" s="3" t="s">
        <v>9</v>
      </c>
      <c r="C18" s="3"/>
      <c r="D18" s="100"/>
      <c r="E18" s="100"/>
      <c r="F18" s="100"/>
      <c r="G18" s="100"/>
      <c r="H18" s="71"/>
      <c r="I18" s="71"/>
      <c r="J18" s="71"/>
      <c r="K18" s="71"/>
      <c r="L18" s="71"/>
      <c r="M18" s="71"/>
      <c r="N18" s="71"/>
      <c r="O18" s="71"/>
      <c r="Q18" s="78" t="str">
        <f>Data_Sources!$D$17&amp;" | "&amp;Data_Sources!$E$17&amp;" | "&amp;Data_Sources!$F$17</f>
        <v>Eternal Q4FY26 shareholders' letter | Annexure A — cash (burn) / surplus bridge | https://b.zmtcdn.com/investor-relations/Eternal_Shareholders_Letter_Q4FY26_Results.pdf</v>
      </c>
    </row>
    <row r="19" spans="1:17" x14ac:dyDescent="0.25">
      <c r="A19" t="s">
        <v>770</v>
      </c>
      <c r="B19" t="s">
        <v>9</v>
      </c>
      <c r="D19" s="190">
        <f>IFERROR(-FA_Schedule!C16,"")</f>
        <v>0</v>
      </c>
      <c r="E19" s="190">
        <f>IFERROR(-FA_Schedule!D16,"")</f>
        <v>-202</v>
      </c>
      <c r="F19" s="190">
        <f>IFERROR(-FA_Schedule!E16,"")</f>
        <v>-931</v>
      </c>
      <c r="G19" s="190">
        <f>IFERROR(-FA_Schedule!F16,"")</f>
        <v>-1746</v>
      </c>
      <c r="H19" s="190">
        <f>IFERROR(-FA_Schedule!G16,"")</f>
        <v>-3200</v>
      </c>
      <c r="I19" s="190">
        <f>IFERROR(-FA_Schedule!H16,"")</f>
        <v>-3500</v>
      </c>
      <c r="J19" s="190">
        <f>IFERROR(-FA_Schedule!I16,"")</f>
        <v>-3800</v>
      </c>
      <c r="K19" s="190">
        <f>IFERROR(-FA_Schedule!J16,"")</f>
        <v>-4100</v>
      </c>
      <c r="L19" s="190">
        <f>IFERROR(-FA_Schedule!K16,"")</f>
        <v>-4275</v>
      </c>
      <c r="M19" s="190">
        <f>IFERROR(-FA_Schedule!L16,"")</f>
        <v>-4450</v>
      </c>
      <c r="N19" s="190">
        <f>IFERROR(-FA_Schedule!M16,"")</f>
        <v>-4625</v>
      </c>
      <c r="O19" s="190">
        <f>IFERROR(-FA_Schedule!N16,"")</f>
        <v>-4800</v>
      </c>
    </row>
    <row r="20" spans="1:17" x14ac:dyDescent="0.25">
      <c r="A20" t="s">
        <v>771</v>
      </c>
      <c r="B20" t="s">
        <v>9</v>
      </c>
      <c r="D20" s="190">
        <f>'Other Income Schedule '!D17</f>
        <v>0</v>
      </c>
      <c r="E20" s="190">
        <f>'Other Income Schedule '!E17</f>
        <v>618</v>
      </c>
      <c r="F20" s="190">
        <f>'Other Income Schedule '!F17</f>
        <v>820</v>
      </c>
      <c r="G20" s="190">
        <f>'Other Income Schedule '!G17</f>
        <v>953</v>
      </c>
      <c r="H20" s="190">
        <f>'Other Income Schedule '!H17</f>
        <v>1168.18</v>
      </c>
      <c r="I20" s="190">
        <f>'Other Income Schedule '!I17</f>
        <v>366.44604747580121</v>
      </c>
      <c r="J20" s="190">
        <f>'Other Income Schedule '!J17</f>
        <v>-349.60918978833109</v>
      </c>
      <c r="K20" s="190">
        <f>'Other Income Schedule '!K17</f>
        <v>-896.76274155724502</v>
      </c>
      <c r="L20" s="190">
        <f>'Other Income Schedule '!L17</f>
        <v>-1315.8702290525382</v>
      </c>
      <c r="M20" s="190">
        <f>'Other Income Schedule '!M17</f>
        <v>-1265.4113820238745</v>
      </c>
      <c r="N20" s="190">
        <f>'Other Income Schedule '!N17</f>
        <v>-701.30171086135067</v>
      </c>
      <c r="O20" s="190">
        <f>'Other Income Schedule '!O17</f>
        <v>451.11302075270203</v>
      </c>
    </row>
    <row r="21" spans="1:17" x14ac:dyDescent="0.25">
      <c r="A21" s="3" t="s">
        <v>772</v>
      </c>
      <c r="B21" s="3" t="s">
        <v>9</v>
      </c>
      <c r="C21" s="3"/>
      <c r="D21" s="168">
        <f t="shared" ref="D21:O21" si="2">SUM(D19:D20)</f>
        <v>0</v>
      </c>
      <c r="E21" s="168">
        <f t="shared" si="2"/>
        <v>416</v>
      </c>
      <c r="F21" s="168">
        <f t="shared" si="2"/>
        <v>-111</v>
      </c>
      <c r="G21" s="168">
        <f t="shared" si="2"/>
        <v>-793</v>
      </c>
      <c r="H21" s="168">
        <f t="shared" si="2"/>
        <v>-2031.82</v>
      </c>
      <c r="I21" s="168">
        <f t="shared" si="2"/>
        <v>-3133.5539525241988</v>
      </c>
      <c r="J21" s="168">
        <f t="shared" si="2"/>
        <v>-4149.6091897883307</v>
      </c>
      <c r="K21" s="168">
        <f t="shared" si="2"/>
        <v>-4996.7627415572451</v>
      </c>
      <c r="L21" s="168">
        <f t="shared" si="2"/>
        <v>-5590.870229052538</v>
      </c>
      <c r="M21" s="168">
        <f t="shared" si="2"/>
        <v>-5715.4113820238745</v>
      </c>
      <c r="N21" s="168">
        <f t="shared" si="2"/>
        <v>-5326.3017108613503</v>
      </c>
      <c r="O21" s="168">
        <f t="shared" si="2"/>
        <v>-4348.8869792472979</v>
      </c>
    </row>
    <row r="22" spans="1:17" x14ac:dyDescent="0.25">
      <c r="D22" s="101"/>
      <c r="E22" s="101"/>
      <c r="F22" s="101"/>
      <c r="G22" s="101"/>
      <c r="H22" s="70"/>
      <c r="I22" s="70"/>
      <c r="J22" s="70"/>
      <c r="K22" s="70"/>
      <c r="L22" s="70"/>
      <c r="M22" s="70"/>
      <c r="N22" s="70"/>
      <c r="O22" s="70"/>
    </row>
    <row r="23" spans="1:17" x14ac:dyDescent="0.25">
      <c r="A23" s="3" t="s">
        <v>773</v>
      </c>
      <c r="B23" s="3"/>
      <c r="C23" s="3"/>
      <c r="D23" s="102"/>
      <c r="E23" s="102"/>
      <c r="F23" s="102"/>
      <c r="G23" s="102"/>
      <c r="H23" s="103"/>
      <c r="I23" s="103"/>
      <c r="J23" s="103"/>
      <c r="K23" s="103"/>
      <c r="L23" s="103"/>
      <c r="M23" s="103"/>
      <c r="N23" s="103"/>
      <c r="O23" s="103"/>
      <c r="Q23" s="78" t="str">
        <f>Data_Sources!$D$17&amp;" | "&amp;Data_Sources!$E$17&amp;" | "&amp;Data_Sources!$F$17</f>
        <v>Eternal Q4FY26 shareholders' letter | Annexure A — cash (burn) / surplus bridge | https://b.zmtcdn.com/investor-relations/Eternal_Shareholders_Letter_Q4FY26_Results.pdf</v>
      </c>
    </row>
    <row r="24" spans="1:17" x14ac:dyDescent="0.25">
      <c r="A24" t="s">
        <v>774</v>
      </c>
      <c r="B24" t="s">
        <v>9</v>
      </c>
      <c r="D24" s="190" t="str">
        <f>IF(Lease_Schedule!D22="","n.a.",-Lease_Schedule!D22)</f>
        <v>n.a.</v>
      </c>
      <c r="E24" s="190">
        <f>IF(Lease_Schedule!E22="","n.a.",-Lease_Schedule!E22)</f>
        <v>-185</v>
      </c>
      <c r="F24" s="190">
        <f>IF(Lease_Schedule!F22="","n.a.",-Lease_Schedule!F22)</f>
        <v>-209</v>
      </c>
      <c r="G24" s="190">
        <f>IF(Lease_Schedule!G22="","n.a.",-Lease_Schedule!G22)</f>
        <v>-471</v>
      </c>
      <c r="H24" s="190">
        <f>IF(Lease_Schedule!H22="","n.a.",-Lease_Schedule!H22)</f>
        <v>-891.48274866103338</v>
      </c>
      <c r="I24" s="190">
        <f>IF(Lease_Schedule!I22="","n.a.",-Lease_Schedule!I22)</f>
        <v>-1229.6911157473062</v>
      </c>
      <c r="J24" s="190">
        <f>IF(Lease_Schedule!J22="","n.a.",-Lease_Schedule!J22)</f>
        <v>-1660.7182602679134</v>
      </c>
      <c r="K24" s="190">
        <f>IF(Lease_Schedule!K22="","n.a.",-Lease_Schedule!K22)</f>
        <v>-2205.5656481516835</v>
      </c>
      <c r="L24" s="190">
        <f>IF(Lease_Schedule!L22="","n.a.",-Lease_Schedule!L22)</f>
        <v>-2874.1411057792657</v>
      </c>
      <c r="M24" s="190">
        <f>IF(Lease_Schedule!M22="","n.a.",-Lease_Schedule!M22)</f>
        <v>-3693.9010044116371</v>
      </c>
      <c r="N24" s="190">
        <f>IF(Lease_Schedule!N22="","n.a.",-Lease_Schedule!N22)</f>
        <v>-4695.0942323108684</v>
      </c>
      <c r="O24" s="190">
        <f>IF(Lease_Schedule!O22="","n.a.",-Lease_Schedule!O22)</f>
        <v>-5913.6937103086375</v>
      </c>
    </row>
    <row r="25" spans="1:17" x14ac:dyDescent="0.25">
      <c r="A25" t="s">
        <v>1454</v>
      </c>
      <c r="B25" t="s">
        <v>9</v>
      </c>
      <c r="D25" s="190">
        <f>IFERROR(-Lease_Schedule!D25,"")</f>
        <v>-49</v>
      </c>
      <c r="E25" s="190">
        <f>IFERROR(-Lease_Schedule!E25,"")</f>
        <v>-72</v>
      </c>
      <c r="F25" s="190">
        <f>IFERROR(-Lease_Schedule!F25,"")</f>
        <v>-154</v>
      </c>
      <c r="G25" s="190">
        <f>IFERROR(-Lease_Schedule!G25,"")</f>
        <v>-392</v>
      </c>
      <c r="H25" s="190">
        <f>IFERROR(-Lease_Schedule!H25,"")</f>
        <v>-495.51725133896662</v>
      </c>
      <c r="I25" s="190">
        <f>IFERROR(-Lease_Schedule!I25,"")</f>
        <v>-826.30888425269382</v>
      </c>
      <c r="J25" s="190">
        <f>IFERROR(-Lease_Schedule!J25,"")</f>
        <v>-1182.2817397320866</v>
      </c>
      <c r="K25" s="190">
        <f>IFERROR(-Lease_Schedule!K25,"")</f>
        <v>-1555.4343518483163</v>
      </c>
      <c r="L25" s="190">
        <f>IFERROR(-Lease_Schedule!L25,"")</f>
        <v>-1934.8588942207343</v>
      </c>
      <c r="M25" s="190">
        <f>IFERROR(-Lease_Schedule!M25,"")</f>
        <v>-2290.0989955883629</v>
      </c>
      <c r="N25" s="190">
        <f>IFERROR(-Lease_Schedule!N25,"")</f>
        <v>-2602.9057676891321</v>
      </c>
      <c r="O25" s="190">
        <f>IFERROR(-Lease_Schedule!O25,"")</f>
        <v>-2850.3062896913625</v>
      </c>
    </row>
    <row r="26" spans="1:17" x14ac:dyDescent="0.25">
      <c r="A26" t="s">
        <v>775</v>
      </c>
      <c r="B26" t="s">
        <v>9</v>
      </c>
      <c r="D26" s="93">
        <v>0</v>
      </c>
      <c r="E26" s="93">
        <v>0</v>
      </c>
      <c r="F26" s="93">
        <v>0</v>
      </c>
      <c r="G26" s="93">
        <v>0</v>
      </c>
      <c r="H26" s="93">
        <v>0</v>
      </c>
      <c r="I26" s="93">
        <v>0</v>
      </c>
      <c r="J26" s="93">
        <v>0</v>
      </c>
      <c r="K26" s="93">
        <v>0</v>
      </c>
      <c r="L26" s="93">
        <v>0</v>
      </c>
      <c r="M26" s="93">
        <v>0</v>
      </c>
      <c r="N26" s="93">
        <v>0</v>
      </c>
      <c r="O26" s="93">
        <v>0</v>
      </c>
    </row>
    <row r="27" spans="1:17" x14ac:dyDescent="0.25">
      <c r="A27" s="80" t="s">
        <v>1455</v>
      </c>
      <c r="B27" s="80" t="s">
        <v>9</v>
      </c>
      <c r="C27" s="80"/>
      <c r="D27" s="98"/>
      <c r="E27" s="349">
        <f>BS!E15-E31-(E16+E21+SUM(E24:E26))</f>
        <v>71</v>
      </c>
      <c r="F27" s="349">
        <f>BS!F15-F31-(F16+F21+SUM(F24:F26))</f>
        <v>4421</v>
      </c>
      <c r="G27" s="349">
        <f>BS!G15-G31-(G16+G21+SUM(G24:G26))</f>
        <v>2043</v>
      </c>
      <c r="H27" s="151">
        <f>0</f>
        <v>0</v>
      </c>
      <c r="I27" s="151">
        <f>0</f>
        <v>0</v>
      </c>
      <c r="J27" s="151">
        <f>0</f>
        <v>0</v>
      </c>
      <c r="K27" s="151">
        <f>0</f>
        <v>0</v>
      </c>
      <c r="L27" s="151">
        <f>0</f>
        <v>0</v>
      </c>
      <c r="M27" s="151">
        <f>0</f>
        <v>0</v>
      </c>
      <c r="N27" s="151">
        <f>0</f>
        <v>0</v>
      </c>
      <c r="O27" s="151">
        <f>0</f>
        <v>0</v>
      </c>
      <c r="P27" s="158"/>
    </row>
    <row r="28" spans="1:17" x14ac:dyDescent="0.25">
      <c r="A28" s="3" t="s">
        <v>776</v>
      </c>
      <c r="B28" s="3" t="s">
        <v>9</v>
      </c>
      <c r="C28" s="3"/>
      <c r="D28" s="168">
        <f t="shared" ref="D28:O28" si="3">SUM(D24:D27)</f>
        <v>-49</v>
      </c>
      <c r="E28" s="168">
        <f t="shared" si="3"/>
        <v>-186</v>
      </c>
      <c r="F28" s="168">
        <f t="shared" si="3"/>
        <v>4058</v>
      </c>
      <c r="G28" s="168">
        <f t="shared" si="3"/>
        <v>1180</v>
      </c>
      <c r="H28" s="168">
        <f t="shared" si="3"/>
        <v>-1387</v>
      </c>
      <c r="I28" s="168">
        <f t="shared" si="3"/>
        <v>-2056</v>
      </c>
      <c r="J28" s="168">
        <f t="shared" si="3"/>
        <v>-2843</v>
      </c>
      <c r="K28" s="168">
        <f t="shared" si="3"/>
        <v>-3761</v>
      </c>
      <c r="L28" s="168">
        <f t="shared" si="3"/>
        <v>-4809</v>
      </c>
      <c r="M28" s="168">
        <f t="shared" si="3"/>
        <v>-5984</v>
      </c>
      <c r="N28" s="168">
        <f t="shared" si="3"/>
        <v>-7298</v>
      </c>
      <c r="O28" s="168">
        <f t="shared" si="3"/>
        <v>-8764</v>
      </c>
    </row>
    <row r="29" spans="1:17" x14ac:dyDescent="0.25">
      <c r="D29" s="101"/>
      <c r="E29" s="101"/>
      <c r="F29" s="101"/>
      <c r="G29" s="101"/>
      <c r="H29" s="70"/>
      <c r="I29" s="70"/>
      <c r="J29" s="70"/>
      <c r="K29" s="70"/>
      <c r="L29" s="70"/>
      <c r="M29" s="70"/>
      <c r="N29" s="70"/>
      <c r="O29" s="70"/>
    </row>
    <row r="30" spans="1:17" x14ac:dyDescent="0.25">
      <c r="A30" s="3" t="s">
        <v>777</v>
      </c>
      <c r="B30" s="3" t="s">
        <v>9</v>
      </c>
      <c r="C30" s="3"/>
      <c r="D30" s="168">
        <f t="shared" ref="D30:O30" si="4">D16+D21+D28</f>
        <v>-1259</v>
      </c>
      <c r="E30" s="168">
        <f t="shared" si="4"/>
        <v>918</v>
      </c>
      <c r="F30" s="168">
        <f t="shared" si="4"/>
        <v>4565</v>
      </c>
      <c r="G30" s="168">
        <f t="shared" si="4"/>
        <v>1166</v>
      </c>
      <c r="H30" s="168">
        <f t="shared" si="4"/>
        <v>-12334.368500372289</v>
      </c>
      <c r="I30" s="168">
        <f t="shared" si="4"/>
        <v>-11016.234419448188</v>
      </c>
      <c r="J30" s="168">
        <f t="shared" si="4"/>
        <v>-8417.7469502909844</v>
      </c>
      <c r="K30" s="168">
        <f t="shared" si="4"/>
        <v>-6447.8074999275841</v>
      </c>
      <c r="L30" s="168">
        <f t="shared" si="4"/>
        <v>776.28995428713461</v>
      </c>
      <c r="M30" s="168">
        <f t="shared" si="4"/>
        <v>8678.6103255772869</v>
      </c>
      <c r="N30" s="168">
        <f t="shared" si="4"/>
        <v>17729.457409446964</v>
      </c>
      <c r="O30" s="168">
        <f t="shared" si="4"/>
        <v>24404.769334110963</v>
      </c>
    </row>
    <row r="31" spans="1:17" x14ac:dyDescent="0.25">
      <c r="A31" t="s">
        <v>778</v>
      </c>
      <c r="B31" t="s">
        <v>9</v>
      </c>
      <c r="D31" s="98"/>
      <c r="E31" s="151">
        <f t="shared" ref="E31:O31" si="5">D32</f>
        <v>11323</v>
      </c>
      <c r="F31" s="151">
        <f t="shared" si="5"/>
        <v>12241</v>
      </c>
      <c r="G31" s="151">
        <f t="shared" si="5"/>
        <v>16806</v>
      </c>
      <c r="H31" s="151">
        <f t="shared" si="5"/>
        <v>17972</v>
      </c>
      <c r="I31" s="151">
        <f t="shared" si="5"/>
        <v>5637.6314996277106</v>
      </c>
      <c r="J31" s="151">
        <f t="shared" si="5"/>
        <v>-5378.6029198204778</v>
      </c>
      <c r="K31" s="151">
        <f t="shared" si="5"/>
        <v>-13796.349870111462</v>
      </c>
      <c r="L31" s="151">
        <f t="shared" si="5"/>
        <v>-20244.157370039047</v>
      </c>
      <c r="M31" s="151">
        <f t="shared" si="5"/>
        <v>-19467.867415751913</v>
      </c>
      <c r="N31" s="151">
        <f t="shared" si="5"/>
        <v>-10789.257090174626</v>
      </c>
      <c r="O31" s="151">
        <f t="shared" si="5"/>
        <v>6940.2003192723387</v>
      </c>
    </row>
    <row r="32" spans="1:17" x14ac:dyDescent="0.25">
      <c r="A32" s="3" t="s">
        <v>779</v>
      </c>
      <c r="B32" s="3" t="s">
        <v>9</v>
      </c>
      <c r="C32" s="3"/>
      <c r="D32" s="335">
        <f>BS!D15</f>
        <v>11323</v>
      </c>
      <c r="E32" s="335">
        <f>BS!E15</f>
        <v>12241</v>
      </c>
      <c r="F32" s="335">
        <f>BS!F15</f>
        <v>16806</v>
      </c>
      <c r="G32" s="335">
        <f>BS!G15</f>
        <v>17972</v>
      </c>
      <c r="H32" s="168">
        <f t="shared" ref="H32:O32" si="6">H31+H30</f>
        <v>5637.6314996277106</v>
      </c>
      <c r="I32" s="168">
        <f t="shared" si="6"/>
        <v>-5378.6029198204778</v>
      </c>
      <c r="J32" s="168">
        <f t="shared" si="6"/>
        <v>-13796.349870111462</v>
      </c>
      <c r="K32" s="168">
        <f t="shared" si="6"/>
        <v>-20244.157370039047</v>
      </c>
      <c r="L32" s="168">
        <f t="shared" si="6"/>
        <v>-19467.867415751913</v>
      </c>
      <c r="M32" s="168">
        <f t="shared" si="6"/>
        <v>-10789.257090174626</v>
      </c>
      <c r="N32" s="168">
        <f t="shared" si="6"/>
        <v>6940.2003192723387</v>
      </c>
      <c r="O32" s="168">
        <f t="shared" si="6"/>
        <v>31344.969653383301</v>
      </c>
    </row>
    <row r="33" spans="1:15" x14ac:dyDescent="0.25">
      <c r="D33" s="101"/>
      <c r="E33" s="101"/>
      <c r="F33" s="101"/>
      <c r="G33" s="101"/>
      <c r="H33" s="70"/>
      <c r="I33" s="70"/>
      <c r="J33" s="70"/>
      <c r="K33" s="70"/>
      <c r="L33" s="70"/>
      <c r="M33" s="70"/>
      <c r="N33" s="70"/>
      <c r="O33" s="70"/>
    </row>
    <row r="34" spans="1:15" x14ac:dyDescent="0.25">
      <c r="A34" t="s">
        <v>780</v>
      </c>
      <c r="B34" t="s">
        <v>9</v>
      </c>
      <c r="D34" s="190">
        <f>IFERROR(ROUND(D32-BS!D15,6),"")</f>
        <v>0</v>
      </c>
      <c r="E34" s="190">
        <f>IFERROR(ROUND(E32-BS!E15,6),"")</f>
        <v>0</v>
      </c>
      <c r="F34" s="190">
        <f>IFERROR(ROUND(F32-BS!F15,6),"")</f>
        <v>0</v>
      </c>
      <c r="G34" s="190">
        <f>IFERROR(ROUND(G32-BS!G15,6),"")</f>
        <v>0</v>
      </c>
      <c r="H34" s="190">
        <f>IFERROR(ROUND(H32-BS!H15,6),"")</f>
        <v>0</v>
      </c>
      <c r="I34" s="190">
        <f>IFERROR(ROUND(I32-BS!I15,6),"")</f>
        <v>0</v>
      </c>
      <c r="J34" s="190">
        <f>IFERROR(ROUND(J32-BS!J15,6),"")</f>
        <v>0</v>
      </c>
      <c r="K34" s="190">
        <f>IFERROR(ROUND(K32-BS!K15,6),"")</f>
        <v>0</v>
      </c>
      <c r="L34" s="190">
        <f>IFERROR(ROUND(L32-BS!L15,6),"")</f>
        <v>0</v>
      </c>
      <c r="M34" s="190">
        <f>IFERROR(ROUND(M32-BS!M15,6),"")</f>
        <v>0</v>
      </c>
      <c r="N34" s="190">
        <f>IFERROR(ROUND(N32-BS!N15,6),"")</f>
        <v>0</v>
      </c>
      <c r="O34" s="190">
        <f>IFERROR(ROUND(O32-BS!O15,6),"")</f>
        <v>0</v>
      </c>
    </row>
    <row r="35" spans="1:15" x14ac:dyDescent="0.25">
      <c r="A35" t="s">
        <v>781</v>
      </c>
      <c r="B35" t="s">
        <v>9</v>
      </c>
      <c r="D35" s="190">
        <f>IFERROR(D16-FA_Schedule!C16,"")</f>
        <v>-1210</v>
      </c>
      <c r="E35" s="190">
        <f>IFERROR(E16-FA_Schedule!D16,"")</f>
        <v>486</v>
      </c>
      <c r="F35" s="190">
        <f>IFERROR(F16-FA_Schedule!E16,"")</f>
        <v>-313</v>
      </c>
      <c r="G35" s="190">
        <f>IFERROR(G16-FA_Schedule!F16,"")</f>
        <v>-967</v>
      </c>
      <c r="H35" s="190">
        <f>IFERROR(H16-FA_Schedule!G16,"")</f>
        <v>-12115.54850037229</v>
      </c>
      <c r="I35" s="190">
        <f>IFERROR(I16-FA_Schedule!H16,"")</f>
        <v>-9326.68046692399</v>
      </c>
      <c r="J35" s="190">
        <f>IFERROR(J16-FA_Schedule!I16,"")</f>
        <v>-5225.1377605026537</v>
      </c>
      <c r="K35" s="190">
        <f>IFERROR(K16-FA_Schedule!J16,"")</f>
        <v>-1790.044758370339</v>
      </c>
      <c r="L35" s="190">
        <f>IFERROR(L16-FA_Schedule!K16,"")</f>
        <v>6901.1601833396726</v>
      </c>
      <c r="M35" s="190">
        <f>IFERROR(M16-FA_Schedule!L16,"")</f>
        <v>15928.021707601161</v>
      </c>
      <c r="N35" s="190">
        <f>IFERROR(N16-FA_Schedule!M16,"")</f>
        <v>25728.759120308314</v>
      </c>
      <c r="O35" s="190">
        <f>IFERROR(O16-FA_Schedule!N16,"")</f>
        <v>32717.65631335826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3DFA-EC1B-474C-AD46-08DA46981EEC}">
  <dimension ref="A1:Q67"/>
  <sheetViews>
    <sheetView zoomScale="60" zoomScaleNormal="60" workbookViewId="0">
      <selection activeCell="A20" sqref="A20"/>
    </sheetView>
  </sheetViews>
  <sheetFormatPr defaultRowHeight="15" x14ac:dyDescent="0.25"/>
  <cols>
    <col min="1" max="1" width="61.42578125" customWidth="1"/>
    <col min="2" max="5" width="10.85546875" customWidth="1"/>
    <col min="6" max="15" width="14.140625" customWidth="1"/>
    <col min="16" max="16" width="72.7109375" style="24" customWidth="1"/>
    <col min="17" max="17" width="47.28515625" customWidth="1"/>
  </cols>
  <sheetData>
    <row r="1" spans="1:17" ht="18.75" x14ac:dyDescent="0.3">
      <c r="A1" s="5" t="s">
        <v>456</v>
      </c>
      <c r="Q1" s="137" t="str">
        <f>Data_Sources!$D$31&amp;" | "&amp;Data_Sources!$E$31&amp;" | "&amp;Data_Sources!$F$31</f>
        <v>Eternal Q4FY25 and Q4FY26 shareholders' letters | Annexure A — operating metrics (quarterly figures) | https://b.zmtcdn.com/investor-relations/Eternal_Shareholders_Letter_Q4FY26_Results.pdf</v>
      </c>
    </row>
    <row r="2" spans="1:17" x14ac:dyDescent="0.25">
      <c r="A2" s="4" t="s">
        <v>197</v>
      </c>
      <c r="B2" s="4" t="s">
        <v>5</v>
      </c>
      <c r="C2" s="4"/>
      <c r="D2" s="6" t="s">
        <v>678</v>
      </c>
      <c r="E2" s="6" t="s">
        <v>679</v>
      </c>
      <c r="F2" s="6" t="s">
        <v>23</v>
      </c>
      <c r="G2" s="6" t="s">
        <v>6</v>
      </c>
      <c r="H2" s="6" t="s">
        <v>24</v>
      </c>
      <c r="I2" s="6" t="s">
        <v>25</v>
      </c>
      <c r="J2" s="6" t="s">
        <v>26</v>
      </c>
      <c r="K2" s="6" t="s">
        <v>27</v>
      </c>
      <c r="L2" s="6" t="s">
        <v>28</v>
      </c>
      <c r="M2" s="6" t="s">
        <v>29</v>
      </c>
      <c r="N2" s="6" t="s">
        <v>30</v>
      </c>
      <c r="O2" s="6" t="s">
        <v>7</v>
      </c>
      <c r="P2" s="25" t="s">
        <v>89</v>
      </c>
    </row>
    <row r="4" spans="1:17" x14ac:dyDescent="0.25">
      <c r="A4" s="8" t="s">
        <v>457</v>
      </c>
    </row>
    <row r="5" spans="1:17" x14ac:dyDescent="0.25">
      <c r="A5" t="s">
        <v>81</v>
      </c>
      <c r="B5" t="s">
        <v>16</v>
      </c>
      <c r="D5" s="59">
        <f>'Revenue Schedule'!C60</f>
        <v>377</v>
      </c>
      <c r="E5" s="59">
        <f>'Revenue Schedule'!D60</f>
        <v>526</v>
      </c>
      <c r="F5" s="59">
        <f>'Revenue Schedule'!E60</f>
        <v>1301</v>
      </c>
      <c r="G5" s="59">
        <f>'Revenue Schedule'!F60</f>
        <v>2243</v>
      </c>
      <c r="H5" s="59">
        <f>'Revenue Schedule'!G60</f>
        <v>3343</v>
      </c>
      <c r="I5" s="59">
        <f>'Revenue Schedule'!H60</f>
        <v>4543</v>
      </c>
      <c r="J5" s="59">
        <f>'Revenue Schedule'!I60</f>
        <v>5843</v>
      </c>
      <c r="K5" s="59">
        <f>'Revenue Schedule'!J60</f>
        <v>7243</v>
      </c>
      <c r="L5" s="59">
        <f>'Revenue Schedule'!K60</f>
        <v>8693</v>
      </c>
      <c r="M5" s="59">
        <f>'Revenue Schedule'!L60</f>
        <v>10193</v>
      </c>
      <c r="N5" s="59">
        <f>'Revenue Schedule'!M60</f>
        <v>11743</v>
      </c>
      <c r="O5" s="59">
        <f>'Revenue Schedule'!N60</f>
        <v>13343</v>
      </c>
      <c r="P5" s="128" t="s">
        <v>458</v>
      </c>
    </row>
    <row r="6" spans="1:17" x14ac:dyDescent="0.25">
      <c r="A6" t="s">
        <v>459</v>
      </c>
      <c r="B6" t="s">
        <v>16</v>
      </c>
      <c r="D6" s="18"/>
      <c r="E6" s="292">
        <f t="shared" ref="E6:O6" si="0">E5-D5</f>
        <v>149</v>
      </c>
      <c r="F6" s="292">
        <f t="shared" si="0"/>
        <v>775</v>
      </c>
      <c r="G6" s="292">
        <f t="shared" si="0"/>
        <v>942</v>
      </c>
      <c r="H6" s="292">
        <f t="shared" si="0"/>
        <v>1100</v>
      </c>
      <c r="I6" s="292">
        <f t="shared" si="0"/>
        <v>1200</v>
      </c>
      <c r="J6" s="292">
        <f t="shared" si="0"/>
        <v>1300</v>
      </c>
      <c r="K6" s="292">
        <f t="shared" si="0"/>
        <v>1400</v>
      </c>
      <c r="L6" s="292">
        <f t="shared" si="0"/>
        <v>1450</v>
      </c>
      <c r="M6" s="292">
        <f t="shared" si="0"/>
        <v>1500</v>
      </c>
      <c r="N6" s="292">
        <f t="shared" si="0"/>
        <v>1550</v>
      </c>
      <c r="O6" s="292">
        <f t="shared" si="0"/>
        <v>1600</v>
      </c>
    </row>
    <row r="7" spans="1:17" x14ac:dyDescent="0.25">
      <c r="D7" s="18"/>
      <c r="E7" s="18"/>
      <c r="F7" s="18"/>
      <c r="G7" s="18"/>
      <c r="H7" s="68"/>
      <c r="I7" s="68"/>
      <c r="J7" s="68"/>
      <c r="K7" s="68"/>
      <c r="L7" s="68"/>
      <c r="M7" s="68"/>
      <c r="N7" s="68"/>
      <c r="O7" s="68"/>
    </row>
    <row r="8" spans="1:17" x14ac:dyDescent="0.25">
      <c r="A8" t="s">
        <v>460</v>
      </c>
      <c r="B8" t="s">
        <v>43</v>
      </c>
      <c r="D8" s="20"/>
      <c r="E8" s="64">
        <f>'Revenue Schedule'!D66</f>
        <v>672</v>
      </c>
      <c r="F8" s="64">
        <f>'Revenue Schedule'!E66</f>
        <v>766</v>
      </c>
      <c r="G8" s="64">
        <f>'Revenue Schedule'!F66</f>
        <v>756</v>
      </c>
      <c r="H8" s="64">
        <f>'Revenue Schedule'!G66</f>
        <v>1200</v>
      </c>
      <c r="I8" s="64">
        <f>'Revenue Schedule'!H66</f>
        <v>1200</v>
      </c>
      <c r="J8" s="64">
        <f>'Revenue Schedule'!I66</f>
        <v>1250</v>
      </c>
      <c r="K8" s="64">
        <f>'Revenue Schedule'!J66</f>
        <v>1300</v>
      </c>
      <c r="L8" s="64">
        <f>'Revenue Schedule'!K66</f>
        <v>1350</v>
      </c>
      <c r="M8" s="64">
        <f>'Revenue Schedule'!L66</f>
        <v>1400</v>
      </c>
      <c r="N8" s="64">
        <f>'Revenue Schedule'!M66</f>
        <v>1450</v>
      </c>
      <c r="O8" s="64">
        <f>'Revenue Schedule'!N66</f>
        <v>1450</v>
      </c>
    </row>
    <row r="9" spans="1:17" x14ac:dyDescent="0.25">
      <c r="A9" t="s">
        <v>461</v>
      </c>
      <c r="B9" t="s">
        <v>9</v>
      </c>
      <c r="D9" s="28"/>
      <c r="E9" s="350">
        <f t="shared" ref="E9:O9" si="1">E8*365/10000</f>
        <v>24.527999999999999</v>
      </c>
      <c r="F9" s="350">
        <f t="shared" si="1"/>
        <v>27.959</v>
      </c>
      <c r="G9" s="350">
        <f t="shared" si="1"/>
        <v>27.594000000000001</v>
      </c>
      <c r="H9" s="350">
        <f t="shared" si="1"/>
        <v>43.8</v>
      </c>
      <c r="I9" s="350">
        <f t="shared" si="1"/>
        <v>43.8</v>
      </c>
      <c r="J9" s="350">
        <f t="shared" si="1"/>
        <v>45.625</v>
      </c>
      <c r="K9" s="350">
        <f t="shared" si="1"/>
        <v>47.45</v>
      </c>
      <c r="L9" s="350">
        <f t="shared" si="1"/>
        <v>49.274999999999999</v>
      </c>
      <c r="M9" s="350">
        <f t="shared" si="1"/>
        <v>51.1</v>
      </c>
      <c r="N9" s="350">
        <f t="shared" si="1"/>
        <v>52.924999999999997</v>
      </c>
      <c r="O9" s="350">
        <f t="shared" si="1"/>
        <v>52.924999999999997</v>
      </c>
    </row>
    <row r="10" spans="1:17" x14ac:dyDescent="0.25">
      <c r="A10" t="s">
        <v>462</v>
      </c>
      <c r="B10" t="s">
        <v>9</v>
      </c>
      <c r="D10" s="351">
        <f>IS!D44/D5</f>
        <v>-1.4907161803713529</v>
      </c>
      <c r="E10" s="351">
        <f>IS!E44/E5</f>
        <v>-0.73003802281368824</v>
      </c>
      <c r="F10" s="351">
        <f>IS!F44/F5</f>
        <v>-0.22444273635664874</v>
      </c>
      <c r="G10" s="351">
        <f>IS!G44/G5</f>
        <v>-0.12349531876950513</v>
      </c>
      <c r="H10" s="351">
        <f>IS!H44/H5</f>
        <v>0.18296948848339814</v>
      </c>
      <c r="I10" s="351">
        <f>IS!I44/I5</f>
        <v>0.57022914373761835</v>
      </c>
      <c r="J10" s="351">
        <f>IS!J44/J5</f>
        <v>1.0137370571624165</v>
      </c>
      <c r="K10" s="351">
        <f>IS!K44/K5</f>
        <v>1.5002467554880574</v>
      </c>
      <c r="L10" s="351">
        <f>IS!L44/L5</f>
        <v>2.0324449557114921</v>
      </c>
      <c r="M10" s="351">
        <f>IS!M44/M5</f>
        <v>2.3670033356224862</v>
      </c>
      <c r="N10" s="351">
        <f>IS!N44/N5</f>
        <v>2.7187666695052375</v>
      </c>
      <c r="O10" s="351">
        <f>IS!O44/O5</f>
        <v>2.9851080341752225</v>
      </c>
    </row>
    <row r="11" spans="1:17" x14ac:dyDescent="0.25">
      <c r="H11" s="70"/>
      <c r="I11" s="70"/>
      <c r="J11" s="70"/>
      <c r="K11" s="70"/>
      <c r="L11" s="70"/>
      <c r="M11" s="70"/>
      <c r="N11" s="70"/>
      <c r="O11" s="70"/>
    </row>
    <row r="12" spans="1:17" x14ac:dyDescent="0.25">
      <c r="A12" s="8" t="s">
        <v>464</v>
      </c>
      <c r="H12" s="70"/>
      <c r="I12" s="70"/>
      <c r="J12" s="70"/>
      <c r="K12" s="70"/>
      <c r="L12" s="70"/>
      <c r="M12" s="70"/>
      <c r="N12" s="70"/>
      <c r="O12" s="70"/>
    </row>
    <row r="13" spans="1:17" x14ac:dyDescent="0.25">
      <c r="A13" t="s">
        <v>465</v>
      </c>
      <c r="B13" t="s">
        <v>9</v>
      </c>
      <c r="D13" s="59">
        <f>'Revenue Schedule'!C42</f>
        <v>22501</v>
      </c>
      <c r="E13" s="59">
        <f>'Revenue Schedule'!D42</f>
        <v>27478</v>
      </c>
      <c r="F13" s="59">
        <f>'Revenue Schedule'!E42</f>
        <v>32862</v>
      </c>
      <c r="G13" s="59">
        <f>'Revenue Schedule'!F42</f>
        <v>37993</v>
      </c>
      <c r="H13" s="59">
        <f>'Revenue Schedule'!G42</f>
        <v>44994.96</v>
      </c>
      <c r="I13" s="59">
        <f>'Revenue Schedule'!H42</f>
        <v>53302.200000000004</v>
      </c>
      <c r="J13" s="59">
        <f>'Revenue Schedule'!I42</f>
        <v>63118.71</v>
      </c>
      <c r="K13" s="59">
        <f>'Revenue Schedule'!J42</f>
        <v>74745.919999999998</v>
      </c>
      <c r="L13" s="59">
        <f>'Revenue Schedule'!K42</f>
        <v>87781.439999999988</v>
      </c>
      <c r="M13" s="59">
        <f>'Revenue Schedule'!L42</f>
        <v>103062</v>
      </c>
      <c r="N13" s="59">
        <f>'Revenue Schedule'!M42</f>
        <v>121040.27</v>
      </c>
      <c r="O13" s="59">
        <f>'Revenue Schedule'!N42</f>
        <v>142112.87999999998</v>
      </c>
    </row>
    <row r="14" spans="1:17" x14ac:dyDescent="0.25">
      <c r="A14" t="s">
        <v>466</v>
      </c>
      <c r="B14" t="s">
        <v>13</v>
      </c>
      <c r="D14" s="77">
        <f>'Revenue Schedule'!C52</f>
        <v>0.27318785831740811</v>
      </c>
      <c r="E14" s="77">
        <f>'Revenue Schedule'!D52</f>
        <v>0.28357231239537084</v>
      </c>
      <c r="F14" s="77">
        <f>'Revenue Schedule'!E52</f>
        <v>0.28659241677317265</v>
      </c>
      <c r="G14" s="77">
        <f>'Revenue Schedule'!F52</f>
        <v>0.30789882346748088</v>
      </c>
      <c r="H14" s="77">
        <f>'Revenue Schedule'!G52</f>
        <v>0.315</v>
      </c>
      <c r="I14" s="77">
        <f>'Revenue Schedule'!H52</f>
        <v>0.32</v>
      </c>
      <c r="J14" s="77">
        <f>'Revenue Schedule'!I52</f>
        <v>0.32500000000000001</v>
      </c>
      <c r="K14" s="77">
        <f>'Revenue Schedule'!J52</f>
        <v>0.33</v>
      </c>
      <c r="L14" s="77">
        <f>'Revenue Schedule'!K52</f>
        <v>0.33</v>
      </c>
      <c r="M14" s="77">
        <f>'Revenue Schedule'!L52</f>
        <v>0.33</v>
      </c>
      <c r="N14" s="77">
        <f>'Revenue Schedule'!M52</f>
        <v>0.33</v>
      </c>
      <c r="O14" s="77">
        <f>'Revenue Schedule'!N52</f>
        <v>0.33</v>
      </c>
    </row>
    <row r="15" spans="1:17" x14ac:dyDescent="0.25">
      <c r="A15" t="s">
        <v>38</v>
      </c>
      <c r="B15" t="s">
        <v>13</v>
      </c>
      <c r="D15" s="77">
        <f>Assumptions!D49</f>
        <v>0</v>
      </c>
      <c r="E15" s="77">
        <f>Assumptions!E49</f>
        <v>0</v>
      </c>
      <c r="F15" s="77">
        <f>Assumptions!F49</f>
        <v>0</v>
      </c>
      <c r="G15" s="77">
        <f>Assumptions!G49</f>
        <v>5.3088726870739344E-2</v>
      </c>
      <c r="H15" s="77">
        <f>Assumptions!H49</f>
        <v>5.6000000000000001E-2</v>
      </c>
      <c r="I15" s="77">
        <f>Assumptions!I49</f>
        <v>5.8000000000000003E-2</v>
      </c>
      <c r="J15" s="77">
        <f>Assumptions!J49</f>
        <v>0.06</v>
      </c>
      <c r="K15" s="77">
        <f>Assumptions!K49</f>
        <v>0.06</v>
      </c>
      <c r="L15" s="77">
        <f>Assumptions!L49</f>
        <v>0.06</v>
      </c>
      <c r="M15" s="77">
        <f>Assumptions!M49</f>
        <v>0.06</v>
      </c>
      <c r="N15" s="77">
        <f>Assumptions!N49</f>
        <v>0.06</v>
      </c>
      <c r="O15" s="77">
        <f>Assumptions!O49</f>
        <v>0.06</v>
      </c>
    </row>
    <row r="16" spans="1:17" x14ac:dyDescent="0.25">
      <c r="H16" s="70"/>
      <c r="I16" s="70"/>
      <c r="J16" s="70"/>
      <c r="K16" s="70"/>
      <c r="L16" s="70"/>
      <c r="M16" s="70"/>
      <c r="N16" s="70"/>
      <c r="O16" s="70"/>
    </row>
    <row r="17" spans="1:16" x14ac:dyDescent="0.25">
      <c r="A17" s="8" t="s">
        <v>467</v>
      </c>
      <c r="H17" s="70"/>
      <c r="I17" s="70"/>
      <c r="J17" s="70"/>
      <c r="K17" s="70"/>
      <c r="L17" s="70"/>
      <c r="M17" s="70"/>
      <c r="N17" s="70"/>
      <c r="O17" s="70"/>
    </row>
    <row r="18" spans="1:16" x14ac:dyDescent="0.25">
      <c r="A18" t="s">
        <v>468</v>
      </c>
      <c r="B18" t="s">
        <v>9</v>
      </c>
      <c r="D18" s="59">
        <f>'Revenue Schedule'!C16</f>
        <v>28191</v>
      </c>
      <c r="E18" s="59">
        <f>'Revenue Schedule'!D16</f>
        <v>41206</v>
      </c>
      <c r="F18" s="59">
        <f>'Revenue Schedule'!E16</f>
        <v>61852</v>
      </c>
      <c r="G18" s="59">
        <f>'Revenue Schedule'!F16</f>
        <v>95960</v>
      </c>
      <c r="H18" s="59">
        <f>'Revenue Schedule'!G16</f>
        <v>180486.96</v>
      </c>
      <c r="I18" s="59">
        <f>'Revenue Schedule'!H16</f>
        <v>243901.296</v>
      </c>
      <c r="J18" s="59">
        <f>'Revenue Schedule'!I16</f>
        <v>323671.65372</v>
      </c>
      <c r="K18" s="59">
        <f>'Revenue Schedule'!J16</f>
        <v>415920.28433599998</v>
      </c>
      <c r="L18" s="59">
        <f>'Revenue Schedule'!K16</f>
        <v>518790.90792000003</v>
      </c>
      <c r="M18" s="59">
        <f>'Revenue Schedule'!L16</f>
        <v>633582.13490000006</v>
      </c>
      <c r="N18" s="59">
        <f>'Revenue Schedule'!M16</f>
        <v>761500.21362500009</v>
      </c>
      <c r="O18" s="59">
        <f>'Revenue Schedule'!N16</f>
        <v>880924.33453125006</v>
      </c>
    </row>
    <row r="19" spans="1:16" ht="30" x14ac:dyDescent="0.25">
      <c r="A19" t="s">
        <v>1561</v>
      </c>
      <c r="B19" t="s">
        <v>469</v>
      </c>
      <c r="D19" s="47">
        <f>D18*10/Assumptions!$B$159/1000</f>
        <v>3.0642391304347827</v>
      </c>
      <c r="E19" s="47">
        <f>E18*10/Assumptions!$B$159/1000</f>
        <v>4.4789130434782614</v>
      </c>
      <c r="F19" s="47">
        <f>F18*10/Assumptions!$B$159/1000</f>
        <v>6.7230434782608697</v>
      </c>
      <c r="G19" s="47">
        <f>G18*10/Assumptions!$B$159/1000</f>
        <v>10.430434782608696</v>
      </c>
      <c r="H19" s="94">
        <f t="shared" ref="E19:O19" si="2">H18/92/1000</f>
        <v>1.9618147826086956</v>
      </c>
      <c r="I19" s="94">
        <f t="shared" si="2"/>
        <v>2.6511010434782611</v>
      </c>
      <c r="J19" s="94">
        <f t="shared" si="2"/>
        <v>3.5181701491304347</v>
      </c>
      <c r="K19" s="94">
        <f t="shared" si="2"/>
        <v>4.5208726558260866</v>
      </c>
      <c r="L19" s="94">
        <f t="shared" si="2"/>
        <v>5.6390316078260874</v>
      </c>
      <c r="M19" s="94">
        <f t="shared" si="2"/>
        <v>6.8867623358695651</v>
      </c>
      <c r="N19" s="94">
        <f t="shared" si="2"/>
        <v>8.2771762350543483</v>
      </c>
      <c r="O19" s="94">
        <f t="shared" si="2"/>
        <v>9.5752645057744576</v>
      </c>
      <c r="P19" s="303" t="str">
        <f>"FY26A B2C NOV US$ "&amp;TEXT(G19,"0.00")&amp;" bn; Q4FY26 letter (Data_Sources row 18) cites the $10bn milestone and a $20bn ambition within two years."</f>
        <v>FY26A B2C NOV US$ 10.43 bn; Q4FY26 letter (Data_Sources row 18) cites the $10bn milestone and a $20bn ambition within two years.</v>
      </c>
    </row>
    <row r="20" spans="1:16" x14ac:dyDescent="0.25">
      <c r="A20" t="s">
        <v>470</v>
      </c>
      <c r="B20" t="s">
        <v>13</v>
      </c>
      <c r="D20" s="77">
        <f>'Revenue Schedule'!C56/D18</f>
        <v>0.20183746585789791</v>
      </c>
      <c r="E20" s="77">
        <f>'Revenue Schedule'!D56/E18</f>
        <v>0.25489006455370578</v>
      </c>
      <c r="F20" s="77">
        <f>'Revenue Schedule'!E56/F18</f>
        <v>0.36168596003362868</v>
      </c>
      <c r="G20" s="77">
        <f>'Revenue Schedule'!F56/G18</f>
        <v>0.50612755314714464</v>
      </c>
      <c r="H20" s="77">
        <f>'Revenue Schedule'!G56/H18</f>
        <v>0.67779633498176262</v>
      </c>
      <c r="I20" s="77">
        <f>'Revenue Schedule'!H56/I18</f>
        <v>0.70808725838012765</v>
      </c>
      <c r="J20" s="77">
        <f>'Revenue Schedule'!I56/J18</f>
        <v>0.73200918979751795</v>
      </c>
      <c r="K20" s="77">
        <f>'Revenue Schedule'!J56/K18</f>
        <v>0.74645397614027276</v>
      </c>
      <c r="L20" s="77">
        <f>'Revenue Schedule'!K56/L18</f>
        <v>0.75680431943989335</v>
      </c>
      <c r="M20" s="77">
        <f>'Revenue Schedule'!L56/M18</f>
        <v>0.76160180885807349</v>
      </c>
      <c r="N20" s="77">
        <f>'Revenue Schedule'!M56/N18</f>
        <v>0.76228658851809261</v>
      </c>
      <c r="O20" s="77">
        <f>'Revenue Schedule'!N56/O18</f>
        <v>0.75357014101924658</v>
      </c>
    </row>
    <row r="21" spans="1:16" x14ac:dyDescent="0.25">
      <c r="A21" t="s">
        <v>203</v>
      </c>
      <c r="B21" t="s">
        <v>13</v>
      </c>
      <c r="D21" s="77">
        <f>IS!D48/D18</f>
        <v>-2.7774821751622859E-2</v>
      </c>
      <c r="E21" s="77">
        <f>IS!E48/E18</f>
        <v>9.0278114837645008E-3</v>
      </c>
      <c r="F21" s="77">
        <f>IS!F48/F18</f>
        <v>1.7444868395524803E-2</v>
      </c>
      <c r="G21" s="77">
        <f>IS!G48/G18</f>
        <v>1.2390579408086702E-2</v>
      </c>
      <c r="H21" s="77">
        <f>IS!H48/H18</f>
        <v>1.4036904715997211E-2</v>
      </c>
      <c r="I21" s="77">
        <f>IS!I48/I18</f>
        <v>2.223020266362177E-2</v>
      </c>
      <c r="J21" s="77">
        <f>IS!J48/J18</f>
        <v>3.2627320408279085E-2</v>
      </c>
      <c r="K21" s="77">
        <f>IS!K48/K18</f>
        <v>4.2078772269403271E-2</v>
      </c>
      <c r="L21" s="77">
        <f>IS!L48/L18</f>
        <v>4.9740914626783081E-2</v>
      </c>
      <c r="M21" s="77">
        <f>IS!M48/M18</f>
        <v>5.3838281598618344E-2</v>
      </c>
      <c r="N21" s="77">
        <f>IS!N48/N18</f>
        <v>5.8009918973501058E-2</v>
      </c>
      <c r="O21" s="77">
        <f>IS!O48/O18</f>
        <v>6.2323368259536813E-2</v>
      </c>
    </row>
    <row r="22" spans="1:16" x14ac:dyDescent="0.25">
      <c r="A22" t="s">
        <v>471</v>
      </c>
      <c r="B22" t="s">
        <v>217</v>
      </c>
      <c r="D22" s="95">
        <f>'Revenue Schedule'!C27/'Cost Schedule'!D8</f>
        <v>5.9337883959044371</v>
      </c>
      <c r="E22" s="95">
        <f>'Revenue Schedule'!D27/'Cost Schedule'!E8</f>
        <v>8.1645569620253173</v>
      </c>
      <c r="F22" s="95">
        <f>'Revenue Schedule'!E27/'Cost Schedule'!F8</f>
        <v>8.4429241594996096</v>
      </c>
      <c r="G22" s="95">
        <f>'Revenue Schedule'!F27/'Cost Schedule'!G8</f>
        <v>15.809671945701357</v>
      </c>
      <c r="H22" s="95">
        <f>'Revenue Schedule'!G27/'Cost Schedule'!H8</f>
        <v>17.214379641117535</v>
      </c>
      <c r="I22" s="95">
        <f>'Revenue Schedule'!H27/'Cost Schedule'!I8</f>
        <v>18.489277774810219</v>
      </c>
      <c r="J22" s="95">
        <f>'Revenue Schedule'!I27/'Cost Schedule'!J8</f>
        <v>19.963310375366515</v>
      </c>
      <c r="K22" s="95">
        <f>'Revenue Schedule'!J27/'Cost Schedule'!K8</f>
        <v>21.231304032488204</v>
      </c>
      <c r="L22" s="95">
        <f>'Revenue Schedule'!K27/'Cost Schedule'!L8</f>
        <v>22.165647214889216</v>
      </c>
      <c r="M22" s="95">
        <f>'Revenue Schedule'!L27/'Cost Schedule'!M8</f>
        <v>23.186796446790744</v>
      </c>
      <c r="N22" s="95">
        <f>'Revenue Schedule'!M27/'Cost Schedule'!N8</f>
        <v>23.727799674222009</v>
      </c>
      <c r="O22" s="95">
        <f>'Revenue Schedule'!N27/'Cost Schedule'!O8</f>
        <v>24.296125146599167</v>
      </c>
    </row>
    <row r="25" spans="1:16" x14ac:dyDescent="0.25">
      <c r="A25" s="212" t="s">
        <v>1243</v>
      </c>
      <c r="B25" s="215"/>
      <c r="C25" s="215"/>
    </row>
    <row r="26" spans="1:16" x14ac:dyDescent="0.25">
      <c r="A26" s="2" t="s">
        <v>1412</v>
      </c>
    </row>
    <row r="27" spans="1:16" x14ac:dyDescent="0.25">
      <c r="A27" s="2"/>
    </row>
    <row r="28" spans="1:16" x14ac:dyDescent="0.25">
      <c r="A28" t="s">
        <v>55</v>
      </c>
      <c r="B28" t="s">
        <v>9</v>
      </c>
      <c r="C28" s="318">
        <f>Assumptions!K111</f>
        <v>2.5</v>
      </c>
    </row>
    <row r="29" spans="1:16" x14ac:dyDescent="0.25">
      <c r="A29" t="s">
        <v>1244</v>
      </c>
      <c r="B29" t="s">
        <v>9</v>
      </c>
      <c r="C29" s="318">
        <f>Assumptions!B125</f>
        <v>3.2632696390658174</v>
      </c>
    </row>
    <row r="30" spans="1:16" x14ac:dyDescent="0.25">
      <c r="A30" s="3" t="s">
        <v>1245</v>
      </c>
      <c r="B30" t="s">
        <v>9</v>
      </c>
      <c r="C30" s="317">
        <f>C28+C29</f>
        <v>5.7632696390658174</v>
      </c>
    </row>
    <row r="31" spans="1:16" x14ac:dyDescent="0.25">
      <c r="A31" s="3"/>
      <c r="C31" s="216"/>
    </row>
    <row r="32" spans="1:16" x14ac:dyDescent="0.25">
      <c r="A32" t="s">
        <v>1246</v>
      </c>
      <c r="B32" t="s">
        <v>43</v>
      </c>
      <c r="C32" s="324">
        <f>Assumptions!O20</f>
        <v>1450</v>
      </c>
    </row>
    <row r="33" spans="1:6" x14ac:dyDescent="0.25">
      <c r="A33" t="s">
        <v>1247</v>
      </c>
      <c r="B33" t="s">
        <v>9</v>
      </c>
      <c r="C33" s="350">
        <f>C32*365/10000</f>
        <v>52.924999999999997</v>
      </c>
    </row>
    <row r="34" spans="1:6" x14ac:dyDescent="0.25">
      <c r="C34" s="28"/>
    </row>
    <row r="35" spans="1:6" x14ac:dyDescent="0.25">
      <c r="A35" t="s">
        <v>1248</v>
      </c>
      <c r="B35" t="s">
        <v>13</v>
      </c>
      <c r="C35" s="314">
        <f>Assumptions!O50</f>
        <v>0.06</v>
      </c>
    </row>
    <row r="36" spans="1:6" x14ac:dyDescent="0.25">
      <c r="A36" t="s">
        <v>1249</v>
      </c>
      <c r="B36" t="s">
        <v>9</v>
      </c>
      <c r="C36" s="317">
        <f>C33*C35</f>
        <v>3.1754999999999995</v>
      </c>
    </row>
    <row r="38" spans="1:6" x14ac:dyDescent="0.25">
      <c r="A38" s="3" t="s">
        <v>1250</v>
      </c>
    </row>
    <row r="39" spans="1:6" x14ac:dyDescent="0.25">
      <c r="A39" t="s">
        <v>1251</v>
      </c>
      <c r="B39" t="s">
        <v>1252</v>
      </c>
      <c r="C39" s="94">
        <f>C28/C36</f>
        <v>0.78727759407967257</v>
      </c>
    </row>
    <row r="40" spans="1:6" x14ac:dyDescent="0.25">
      <c r="A40" t="s">
        <v>1253</v>
      </c>
      <c r="B40" t="s">
        <v>1252</v>
      </c>
      <c r="C40" s="94">
        <f>C30/C36</f>
        <v>1.8149172221904639</v>
      </c>
    </row>
    <row r="41" spans="1:6" x14ac:dyDescent="0.25">
      <c r="A41" t="s">
        <v>1254</v>
      </c>
      <c r="B41" t="s">
        <v>13</v>
      </c>
      <c r="C41" s="259">
        <f>C36/C30</f>
        <v>0.5509893166328973</v>
      </c>
    </row>
    <row r="42" spans="1:6" x14ac:dyDescent="0.25">
      <c r="A42" t="s">
        <v>1255</v>
      </c>
      <c r="B42" t="s">
        <v>13</v>
      </c>
      <c r="C42" s="314">
        <f>C41*(1-Assumptions!O91)</f>
        <v>0.412305305636397</v>
      </c>
    </row>
    <row r="43" spans="1:6" x14ac:dyDescent="0.25">
      <c r="C43" s="82"/>
    </row>
    <row r="44" spans="1:6" x14ac:dyDescent="0.25">
      <c r="A44" t="s">
        <v>1256</v>
      </c>
      <c r="B44" t="s">
        <v>1257</v>
      </c>
      <c r="C44" s="189">
        <f>C42-DCF!B3</f>
        <v>0.26516783874254907</v>
      </c>
    </row>
    <row r="46" spans="1:6" x14ac:dyDescent="0.25">
      <c r="A46" s="3" t="s">
        <v>1258</v>
      </c>
    </row>
    <row r="47" spans="1:6" x14ac:dyDescent="0.25">
      <c r="C47" s="228" t="s">
        <v>1259</v>
      </c>
      <c r="D47" s="228" t="s">
        <v>1260</v>
      </c>
      <c r="E47" s="228" t="s">
        <v>1261</v>
      </c>
      <c r="F47" s="228" t="s">
        <v>1262</v>
      </c>
    </row>
    <row r="48" spans="1:6" x14ac:dyDescent="0.25">
      <c r="A48" t="s">
        <v>1263</v>
      </c>
      <c r="B48" t="s">
        <v>13</v>
      </c>
      <c r="C48" s="286">
        <f>Assumptions!B163</f>
        <v>0.5</v>
      </c>
      <c r="D48" s="286">
        <f>Assumptions!C163</f>
        <v>0.75</v>
      </c>
      <c r="E48" s="286">
        <f>Assumptions!D163</f>
        <v>0.9</v>
      </c>
      <c r="F48" s="286">
        <f>Assumptions!E163</f>
        <v>1</v>
      </c>
    </row>
    <row r="49" spans="1:6" x14ac:dyDescent="0.25">
      <c r="A49" t="s">
        <v>1264</v>
      </c>
      <c r="B49" t="s">
        <v>9</v>
      </c>
      <c r="C49" s="352">
        <f>$C$36*C48</f>
        <v>1.5877499999999998</v>
      </c>
      <c r="D49" s="352">
        <f>$C$36*D48</f>
        <v>2.3816249999999997</v>
      </c>
      <c r="E49" s="352">
        <f>$C$36*E48</f>
        <v>2.8579499999999998</v>
      </c>
      <c r="F49" s="352">
        <f>$C$36*F48</f>
        <v>3.1754999999999995</v>
      </c>
    </row>
    <row r="50" spans="1:6" x14ac:dyDescent="0.25">
      <c r="A50" t="s">
        <v>1265</v>
      </c>
      <c r="B50" t="s">
        <v>9</v>
      </c>
      <c r="C50" s="352">
        <f>C49</f>
        <v>1.5877499999999998</v>
      </c>
      <c r="D50" s="352">
        <f>C50+D49</f>
        <v>3.9693749999999994</v>
      </c>
      <c r="E50" s="352">
        <f>D50+E49</f>
        <v>6.8273249999999992</v>
      </c>
      <c r="F50" s="352">
        <f>E50+F49</f>
        <v>10.002824999999998</v>
      </c>
    </row>
    <row r="51" spans="1:6" x14ac:dyDescent="0.25">
      <c r="A51" t="s">
        <v>1266</v>
      </c>
      <c r="B51" t="s">
        <v>13</v>
      </c>
      <c r="C51" s="353">
        <f>C50/$C$30</f>
        <v>0.27549465831644865</v>
      </c>
      <c r="D51" s="353">
        <f>D50/$C$30</f>
        <v>0.6887366457911217</v>
      </c>
      <c r="E51" s="353">
        <f>E50/$C$30</f>
        <v>1.1846270307607294</v>
      </c>
      <c r="F51" s="353">
        <f>F50/$C$30</f>
        <v>1.7356163473936264</v>
      </c>
    </row>
    <row r="53" spans="1:6" x14ac:dyDescent="0.25">
      <c r="A53" t="s">
        <v>1267</v>
      </c>
      <c r="B53" t="s">
        <v>1252</v>
      </c>
      <c r="C53" s="354">
        <f>IF(C50&gt;=$C$30,$C$30/C49,IF(D50&gt;=$C$30,1+($C$30-C50)/D49,IF(E50&gt;=$C$30,2+($C$30-D50)/E49,IF(F50&gt;=$C$30,3+($C$30-E50)/F49,"beyond year 4"))))</f>
        <v>2.6276858024338487</v>
      </c>
    </row>
    <row r="54" spans="1:6" x14ac:dyDescent="0.25">
      <c r="A54" t="s">
        <v>1268</v>
      </c>
      <c r="B54" t="s">
        <v>16</v>
      </c>
      <c r="C54" s="324">
        <f>SUM(Assumptions!H18:O18)</f>
        <v>11100</v>
      </c>
    </row>
    <row r="55" spans="1:6" x14ac:dyDescent="0.25">
      <c r="A55" t="s">
        <v>1269</v>
      </c>
      <c r="B55" t="s">
        <v>9</v>
      </c>
      <c r="C55" s="331">
        <f>C54*C28</f>
        <v>27750</v>
      </c>
    </row>
    <row r="57" spans="1:6" x14ac:dyDescent="0.25">
      <c r="A57" s="3" t="s">
        <v>1270</v>
      </c>
    </row>
    <row r="58" spans="1:6" x14ac:dyDescent="0.25">
      <c r="A58" s="80" t="str">
        <f>"6. A mature store returns "&amp;TEXT(C42,"0%")&amp;" post-tax on "&amp;TEXT(C30,"0.0")&amp;" Cr of invested capital and pays back in "&amp;TEXT(C53,"0.0")&amp;" years including the ramp. That is the whole bull case in one line: the rollout is self-funding long before the model's terminal year."</f>
        <v>6. A mature store returns 41% post-tax on 5.8 Cr of invested capital and pays back in 2.6 years including the ramp. That is the whole bull case in one line: the rollout is self-funding long before the model's terminal year.</v>
      </c>
    </row>
    <row r="59" spans="1:6" x14ac:dyDescent="0.25">
      <c r="A59" t="str">
        <f>"7. It is also the bear case: a "&amp;TEXT(C42,"0%")&amp;" post-tax return on "&amp;TEXT(C30,"0.00")&amp;" Cr invested with a "&amp;TEXT(C53,"0.0")&amp;"-year payback is implausibly high for physical retail."</f>
        <v>7. It is also the bear case: a 41% post-tax return on 5.76 Cr invested with a 2.6-year payback is implausibly high for physical retail.</v>
      </c>
    </row>
    <row r="60" spans="1:6" x14ac:dyDescent="0.25">
      <c r="A60" t="s">
        <v>1271</v>
      </c>
    </row>
    <row r="61" spans="1:6" x14ac:dyDescent="0.25">
      <c r="A61" t="s">
        <v>1272</v>
      </c>
    </row>
    <row r="62" spans="1:6" x14ac:dyDescent="0.25">
      <c r="A62" s="8" t="s">
        <v>375</v>
      </c>
    </row>
    <row r="63" spans="1:6" x14ac:dyDescent="0.25">
      <c r="A63" t="s">
        <v>472</v>
      </c>
    </row>
    <row r="64" spans="1:6" x14ac:dyDescent="0.25">
      <c r="A64" t="str">
        <f>"2. Store productivity is the swing factor. NOV per store per day moved "&amp;TEXT('Revenue Schedule'!E66,"#,##0")&amp;"k (FY25A) to "&amp;TEXT('Revenue Schedule'!F66,"#,##0")&amp;"k (FY26A)."</f>
        <v>2. Store productivity is the swing factor. NOV per store per day moved 766k (FY25A) to 756k (FY26A).</v>
      </c>
    </row>
    <row r="65" spans="1:1" x14ac:dyDescent="0.25">
      <c r="A65" t="s">
        <v>473</v>
      </c>
    </row>
    <row r="66" spans="1:1" x14ac:dyDescent="0.25">
      <c r="A66" t="s">
        <v>474</v>
      </c>
    </row>
    <row r="67" spans="1:1" x14ac:dyDescent="0.25">
      <c r="A67" t="s">
        <v>475</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399D-A653-4624-86C9-AE455F6A6371}">
  <dimension ref="A1:P41"/>
  <sheetViews>
    <sheetView zoomScale="70" zoomScaleNormal="70" workbookViewId="0">
      <pane xSplit="2" topLeftCell="C1" activePane="topRight" state="frozen"/>
      <selection pane="topRight" activeCell="I37" sqref="I37"/>
    </sheetView>
  </sheetViews>
  <sheetFormatPr defaultRowHeight="15" x14ac:dyDescent="0.25"/>
  <cols>
    <col min="1" max="1" width="47.28515625" customWidth="1"/>
    <col min="2" max="5" width="10.85546875" customWidth="1"/>
    <col min="6" max="15" width="14.140625" customWidth="1"/>
    <col min="16" max="16" width="47.28515625" style="24" customWidth="1"/>
  </cols>
  <sheetData>
    <row r="1" spans="1:16" ht="75" x14ac:dyDescent="0.3">
      <c r="A1" s="5" t="s">
        <v>196</v>
      </c>
      <c r="P1" s="138" t="str">
        <f>Data_Sources!$D$3&amp;" | "&amp;Data_Sources!$E$3&amp;" | "&amp;Data_Sources!$F$3</f>
        <v>Eternal Q4FY26 audited consolidated financial results | Statement of consolidated financial results, line I | https://b.zmtcdn.com/investor-relations/Eternal_Shareholders_Letter_Q4FY26_Results.pdf</v>
      </c>
    </row>
    <row r="2" spans="1:16" x14ac:dyDescent="0.25">
      <c r="A2" s="4" t="s">
        <v>197</v>
      </c>
      <c r="B2" s="4" t="s">
        <v>5</v>
      </c>
      <c r="C2" s="4"/>
      <c r="D2" s="6" t="s">
        <v>678</v>
      </c>
      <c r="E2" s="6" t="s">
        <v>679</v>
      </c>
      <c r="F2" s="6" t="s">
        <v>23</v>
      </c>
      <c r="G2" s="6" t="s">
        <v>6</v>
      </c>
      <c r="H2" s="6" t="s">
        <v>24</v>
      </c>
      <c r="I2" s="6" t="s">
        <v>25</v>
      </c>
      <c r="J2" s="6" t="s">
        <v>26</v>
      </c>
      <c r="K2" s="6" t="s">
        <v>27</v>
      </c>
      <c r="L2" s="6" t="s">
        <v>28</v>
      </c>
      <c r="M2" s="6" t="s">
        <v>29</v>
      </c>
      <c r="N2" s="6" t="s">
        <v>30</v>
      </c>
      <c r="O2" s="6" t="s">
        <v>7</v>
      </c>
    </row>
    <row r="4" spans="1:16" x14ac:dyDescent="0.25">
      <c r="A4" s="8" t="s">
        <v>198</v>
      </c>
    </row>
    <row r="5" spans="1:16" x14ac:dyDescent="0.25">
      <c r="A5" t="s">
        <v>199</v>
      </c>
      <c r="B5" t="s">
        <v>13</v>
      </c>
      <c r="D5" s="48"/>
      <c r="E5" s="355">
        <f>IFERROR('Revenue Schedule'!D16/'Revenue Schedule'!C16-1,"")</f>
        <v>0.46167216487531482</v>
      </c>
      <c r="F5" s="355">
        <f>IFERROR('Revenue Schedule'!E16/'Revenue Schedule'!D16-1,"")</f>
        <v>0.5010435373489297</v>
      </c>
      <c r="G5" s="355">
        <f>IFERROR('Revenue Schedule'!F16/'Revenue Schedule'!E16-1,"")</f>
        <v>0.55144538575955515</v>
      </c>
      <c r="H5" s="355">
        <f>IFERROR('Revenue Schedule'!G16/'Revenue Schedule'!F16-1,"")</f>
        <v>0.88085619007919957</v>
      </c>
      <c r="I5" s="355">
        <f>IFERROR('Revenue Schedule'!H16/'Revenue Schedule'!G16-1,"")</f>
        <v>0.3513513441635896</v>
      </c>
      <c r="J5" s="355">
        <f>IFERROR('Revenue Schedule'!I16/'Revenue Schedule'!H16-1,"")</f>
        <v>0.32705999938598107</v>
      </c>
      <c r="K5" s="355">
        <f>IFERROR('Revenue Schedule'!J16/'Revenue Schedule'!I16-1,"")</f>
        <v>0.28500682576238789</v>
      </c>
      <c r="L5" s="355">
        <f>IFERROR('Revenue Schedule'!K16/'Revenue Schedule'!J16-1,"")</f>
        <v>0.24733254774584723</v>
      </c>
      <c r="M5" s="355">
        <f>IFERROR('Revenue Schedule'!L16/'Revenue Schedule'!K16-1,"")</f>
        <v>0.22126684417087228</v>
      </c>
      <c r="N5" s="355">
        <f>IFERROR('Revenue Schedule'!M16/'Revenue Schedule'!L16-1,"")</f>
        <v>0.20189659979157981</v>
      </c>
      <c r="O5" s="355">
        <f>IFERROR('Revenue Schedule'!N16/'Revenue Schedule'!M16-1,"")</f>
        <v>0.15682742928954752</v>
      </c>
    </row>
    <row r="6" spans="1:16" x14ac:dyDescent="0.25">
      <c r="A6" t="s">
        <v>200</v>
      </c>
      <c r="B6" t="s">
        <v>13</v>
      </c>
      <c r="D6" s="48"/>
      <c r="E6" s="355">
        <f>'Revenue Schedule'!D27/'Revenue Schedule'!C27-1</f>
        <v>0.55815023582192569</v>
      </c>
      <c r="F6" s="355">
        <f>'Revenue Schedule'!E27/'Revenue Schedule'!D27-1</f>
        <v>0.59446290143964564</v>
      </c>
      <c r="G6" s="355">
        <f>'Revenue Schedule'!F27/'Revenue Schedule'!E27-1</f>
        <v>1.5884613603741262</v>
      </c>
      <c r="H6" s="355">
        <f>'Revenue Schedule'!G27/'Revenue Schedule'!F27-1</f>
        <v>1.3868914619966728</v>
      </c>
      <c r="I6" s="355">
        <f>'Revenue Schedule'!H27/'Revenue Schedule'!G27-1</f>
        <v>0.38923634182009903</v>
      </c>
      <c r="J6" s="355">
        <f>'Revenue Schedule'!I27/'Revenue Schedule'!H27-1</f>
        <v>0.35745082066387091</v>
      </c>
      <c r="K6" s="355">
        <f>'Revenue Schedule'!J27/'Revenue Schedule'!I27-1</f>
        <v>0.30565015573281462</v>
      </c>
      <c r="L6" s="355">
        <f>'Revenue Schedule'!K27/'Revenue Schedule'!J27-1</f>
        <v>0.26352867996956619</v>
      </c>
      <c r="M6" s="355">
        <f>'Revenue Schedule'!L27/'Revenue Schedule'!K27-1</f>
        <v>0.23359259563573498</v>
      </c>
      <c r="N6" s="355">
        <f>'Revenue Schedule'!M27/'Revenue Schedule'!L27-1</f>
        <v>0.21233328523663575</v>
      </c>
      <c r="O6" s="355">
        <f>'Revenue Schedule'!N27/'Revenue Schedule'!M27-1</f>
        <v>0.16296999234763998</v>
      </c>
    </row>
    <row r="7" spans="1:16" x14ac:dyDescent="0.25">
      <c r="A7" t="s">
        <v>201</v>
      </c>
      <c r="B7" t="s">
        <v>13</v>
      </c>
      <c r="D7" s="48"/>
      <c r="E7" s="230" t="s">
        <v>1405</v>
      </c>
      <c r="F7" s="355">
        <f>IS!F48/IS!E48-1</f>
        <v>1.900537634408602</v>
      </c>
      <c r="G7" s="355">
        <f>IS!G48/IS!F48-1</f>
        <v>0.10194624652455975</v>
      </c>
      <c r="H7" s="355">
        <f>IS!H48/IS!G48-1</f>
        <v>1.1307638856181663</v>
      </c>
      <c r="I7" s="355">
        <f>IS!I48/IS!H48-1</f>
        <v>1.1401309518243119</v>
      </c>
      <c r="J7" s="355">
        <f>IS!J48/IS!I48-1</f>
        <v>0.94772906284979541</v>
      </c>
      <c r="K7" s="355">
        <f>IS!K48/IS!J48-1</f>
        <v>0.65724640912171894</v>
      </c>
      <c r="L7" s="355">
        <f>IS!L48/IS!K48-1</f>
        <v>0.47445988612523426</v>
      </c>
      <c r="M7" s="355">
        <f>IS!M48/IS!L48-1</f>
        <v>0.32186769698287154</v>
      </c>
      <c r="N7" s="355">
        <f>IS!N48/IS!M48-1</f>
        <v>0.29502506948931395</v>
      </c>
      <c r="O7" s="355">
        <f>IS!O48/IS!N48-1</f>
        <v>0.24284576093408861</v>
      </c>
    </row>
    <row r="8" spans="1:16" x14ac:dyDescent="0.25">
      <c r="D8" s="3"/>
      <c r="E8" s="3"/>
      <c r="F8" s="3"/>
      <c r="G8" s="3"/>
      <c r="H8" s="103"/>
      <c r="I8" s="103"/>
      <c r="J8" s="103"/>
      <c r="K8" s="103"/>
      <c r="L8" s="103"/>
      <c r="M8" s="103"/>
      <c r="N8" s="103"/>
      <c r="O8" s="103"/>
    </row>
    <row r="9" spans="1:16" x14ac:dyDescent="0.25">
      <c r="A9" s="8" t="s">
        <v>202</v>
      </c>
      <c r="D9" s="3"/>
      <c r="E9" s="3"/>
      <c r="F9" s="3"/>
      <c r="G9" s="3"/>
      <c r="H9" s="103"/>
      <c r="I9" s="103"/>
      <c r="J9" s="103"/>
      <c r="K9" s="103"/>
      <c r="L9" s="103"/>
      <c r="M9" s="103"/>
      <c r="N9" s="103"/>
      <c r="O9" s="103"/>
    </row>
    <row r="10" spans="1:16" x14ac:dyDescent="0.25">
      <c r="A10" t="s">
        <v>12</v>
      </c>
      <c r="B10" t="s">
        <v>13</v>
      </c>
      <c r="D10" s="355">
        <f>IS!D48/'Revenue Schedule'!C27</f>
        <v>-9.0072472103991719E-2</v>
      </c>
      <c r="E10" s="355">
        <f>IS!E48/'Revenue Schedule'!D27</f>
        <v>2.7464008859357698E-2</v>
      </c>
      <c r="F10" s="355">
        <f>IS!F48/'Revenue Schedule'!E27</f>
        <v>4.9960642681853962E-2</v>
      </c>
      <c r="G10" s="355">
        <f>IS!G48/'Revenue Schedule'!F27</f>
        <v>2.1268983775468223E-2</v>
      </c>
      <c r="H10" s="355">
        <f>IS!H48/'Revenue Schedule'!G27</f>
        <v>1.8986695974292936E-2</v>
      </c>
      <c r="I10" s="355">
        <f>IS!I48/'Revenue Schedule'!H27</f>
        <v>2.9249174171635892E-2</v>
      </c>
      <c r="J10" s="355">
        <f>IS!J48/'Revenue Schedule'!I27</f>
        <v>4.1967978309954163E-2</v>
      </c>
      <c r="K10" s="355">
        <f>IS!K48/'Revenue Schedule'!J27</f>
        <v>5.3269461997063901E-2</v>
      </c>
      <c r="L10" s="355">
        <f>IS!L48/'Revenue Schedule'!K27</f>
        <v>6.2162170210521187E-2</v>
      </c>
      <c r="M10" s="355">
        <f>IS!M48/'Revenue Schedule'!L27</f>
        <v>6.6610455563971924E-2</v>
      </c>
      <c r="N10" s="355">
        <f>IS!N48/'Revenue Schedule'!M27</f>
        <v>7.1153874017910873E-2</v>
      </c>
      <c r="O10" s="355">
        <f>IS!O48/'Revenue Schedule'!N27</f>
        <v>7.6040904992468503E-2</v>
      </c>
    </row>
    <row r="11" spans="1:16" x14ac:dyDescent="0.25">
      <c r="A11" t="s">
        <v>203</v>
      </c>
      <c r="B11" t="s">
        <v>13</v>
      </c>
      <c r="D11" s="355">
        <f>IFERROR(IS!D48/'Revenue Schedule'!C16,"")</f>
        <v>-2.7774821751622859E-2</v>
      </c>
      <c r="E11" s="355">
        <f>IFERROR(IS!E48/'Revenue Schedule'!D16,"")</f>
        <v>9.0278114837645008E-3</v>
      </c>
      <c r="F11" s="355">
        <f>IFERROR(IS!F48/'Revenue Schedule'!E16,"")</f>
        <v>1.7444868395524803E-2</v>
      </c>
      <c r="G11" s="355">
        <f>IFERROR(IS!G48/'Revenue Schedule'!F16,"")</f>
        <v>1.2390579408086702E-2</v>
      </c>
      <c r="H11" s="355">
        <f>IFERROR(IS!H48/'Revenue Schedule'!G16,"")</f>
        <v>1.4036904715997211E-2</v>
      </c>
      <c r="I11" s="355">
        <f>IFERROR(IS!I48/'Revenue Schedule'!H16,"")</f>
        <v>2.223020266362177E-2</v>
      </c>
      <c r="J11" s="355">
        <f>IFERROR(IS!J48/'Revenue Schedule'!I16,"")</f>
        <v>3.2627320408279085E-2</v>
      </c>
      <c r="K11" s="355">
        <f>IFERROR(IS!K48/'Revenue Schedule'!J16,"")</f>
        <v>4.2078772269403271E-2</v>
      </c>
      <c r="L11" s="355">
        <f>IFERROR(IS!L48/'Revenue Schedule'!K16,"")</f>
        <v>4.9740914626783081E-2</v>
      </c>
      <c r="M11" s="355">
        <f>IFERROR(IS!M48/'Revenue Schedule'!L16,"")</f>
        <v>5.3838281598618344E-2</v>
      </c>
      <c r="N11" s="355">
        <f>IFERROR(IS!N48/'Revenue Schedule'!M16,"")</f>
        <v>5.8009918973501058E-2</v>
      </c>
      <c r="O11" s="355">
        <f>IFERROR(IS!O48/'Revenue Schedule'!N16,"")</f>
        <v>6.2323368259536813E-2</v>
      </c>
    </row>
    <row r="12" spans="1:16" x14ac:dyDescent="0.25">
      <c r="A12" t="s">
        <v>204</v>
      </c>
      <c r="B12" t="s">
        <v>13</v>
      </c>
      <c r="D12" s="355">
        <f>IS!D29/'Revenue Schedule'!C27</f>
        <v>-0.11158403313010468</v>
      </c>
      <c r="E12" s="355">
        <f>IS!E29/'Revenue Schedule'!D27</f>
        <v>2.5913621262458473E-2</v>
      </c>
      <c r="F12" s="355">
        <f>IS!F29/'Revenue Schedule'!E27</f>
        <v>2.4401537250544059E-2</v>
      </c>
      <c r="G12" s="355">
        <f>IS!G29/'Revenue Schedule'!F27</f>
        <v>6.5470547197824802E-3</v>
      </c>
      <c r="H12" s="355">
        <f>IS!H29/'Revenue Schedule'!G27</f>
        <v>-5.588233775270747E-2</v>
      </c>
      <c r="I12" s="355">
        <f>IS!I29/'Revenue Schedule'!H27</f>
        <v>-4.438474294119827E-2</v>
      </c>
      <c r="J12" s="355">
        <f>IS!J29/'Revenue Schedule'!I27</f>
        <v>-2.8058508213083602E-2</v>
      </c>
      <c r="K12" s="355">
        <f>IS!K29/'Revenue Schedule'!J27</f>
        <v>-9.7472729093848517E-3</v>
      </c>
      <c r="L12" s="355">
        <f>IS!L29/'Revenue Schedule'!K27</f>
        <v>8.8615958394338782E-3</v>
      </c>
      <c r="M12" s="355">
        <f>IS!M29/'Revenue Schedule'!L27</f>
        <v>2.4835049488257144E-2</v>
      </c>
      <c r="N12" s="355">
        <f>IS!N29/'Revenue Schedule'!M27</f>
        <v>3.6812918521125872E-2</v>
      </c>
      <c r="O12" s="355">
        <f>IS!O29/'Revenue Schedule'!N27</f>
        <v>4.1110519865891336E-2</v>
      </c>
    </row>
    <row r="13" spans="1:16" x14ac:dyDescent="0.25">
      <c r="A13" t="s">
        <v>205</v>
      </c>
      <c r="B13" t="s">
        <v>13</v>
      </c>
      <c r="D13" s="48"/>
      <c r="E13" s="355">
        <f>IS!E29/AVERAGE(BS!D21:'BS'!E21)</f>
        <v>1.7612082591133747E-2</v>
      </c>
      <c r="F13" s="355">
        <f>IS!F29/AVERAGE(BS!E21:'BS'!F21)</f>
        <v>2.0782396088019559E-2</v>
      </c>
      <c r="G13" s="355">
        <f>IS!G29/AVERAGE(BS!F21:'BS'!G21)</f>
        <v>1.1944584958308177E-2</v>
      </c>
      <c r="H13" s="355">
        <f>IS!H29/AVERAGE(BS!G21:'BS'!H21)</f>
        <v>-0.2694871762814442</v>
      </c>
      <c r="I13" s="355">
        <f>IS!I29/AVERAGE(BS!H21:'BS'!I21)</f>
        <v>-0.39761613260486994</v>
      </c>
      <c r="J13" s="355">
        <f>IS!J29/AVERAGE(BS!I21:'BS'!J21)</f>
        <v>-0.50654463620998558</v>
      </c>
      <c r="K13" s="355">
        <f>IS!K29/AVERAGE(BS!J21:'BS'!K21)</f>
        <v>-0.32956763669944694</v>
      </c>
      <c r="L13" s="355">
        <f>IS!L29/AVERAGE(BS!K21:'BS'!L21)</f>
        <v>0.33795366588573938</v>
      </c>
      <c r="M13" s="355">
        <f>IS!M29/AVERAGE(BS!L21:'BS'!M21)</f>
        <v>0.63483465455958787</v>
      </c>
      <c r="N13" s="355">
        <f>IS!N29/AVERAGE(BS!M21:'BS'!N21)</f>
        <v>0.58919228621055142</v>
      </c>
      <c r="O13" s="355">
        <f>IS!O29/AVERAGE(BS!N21:'BS'!O21)</f>
        <v>0.44940170701457866</v>
      </c>
    </row>
    <row r="14" spans="1:16" x14ac:dyDescent="0.25">
      <c r="A14" t="s">
        <v>206</v>
      </c>
      <c r="B14" t="s">
        <v>13</v>
      </c>
      <c r="D14" s="48"/>
      <c r="E14" s="355">
        <f>(IS!E57+IS!E19)/AVERAGE(BS!D21:'BS'!E21)</f>
        <v>-2.4285606763842546E-2</v>
      </c>
      <c r="F14" s="355">
        <f>(IS!F57+IS!F19)/AVERAGE(BS!E21:'BS'!F21)</f>
        <v>-8.9123747929647449E-3</v>
      </c>
      <c r="G14" s="355">
        <f>(IS!G57+IS!G19)/AVERAGE(BS!F21:'BS'!G21)</f>
        <v>-1.2695200952955959E-2</v>
      </c>
      <c r="H14" s="355">
        <f>(IS!H57+IS!H19)/AVERAGE(BS!G21:'BS'!H21)</f>
        <v>8.3965761159675353E-3</v>
      </c>
      <c r="I14" s="355">
        <f>(IS!I57+IS!I19)/AVERAGE(BS!H21:'BS'!I21)</f>
        <v>0.11963598614821318</v>
      </c>
      <c r="J14" s="355">
        <f>(IS!J57+IS!J19)/AVERAGE(BS!I21:'BS'!J21)</f>
        <v>0.51778055848977711</v>
      </c>
      <c r="K14" s="355">
        <f>(IS!K57+IS!K19)/AVERAGE(BS!J21:'BS'!K21)</f>
        <v>1.4380335741935271</v>
      </c>
      <c r="L14" s="355">
        <f>(IS!L57+IS!L19)/AVERAGE(BS!K21:'BS'!L21)</f>
        <v>2.0500333343122996</v>
      </c>
      <c r="M14" s="355">
        <f>(IS!M57+IS!M19)/AVERAGE(BS!L21:'BS'!M21)</f>
        <v>1.5419427714436622</v>
      </c>
      <c r="N14" s="355">
        <f>(IS!N57+IS!N19)/AVERAGE(BS!M21:'BS'!N21)</f>
        <v>1.0684439244552457</v>
      </c>
      <c r="O14" s="355">
        <f>(IS!O57+IS!O19)/AVERAGE(BS!N21:'BS'!O21)</f>
        <v>0.80068977098665517</v>
      </c>
    </row>
    <row r="15" spans="1:16" x14ac:dyDescent="0.25">
      <c r="A15" s="80" t="s">
        <v>858</v>
      </c>
      <c r="B15" s="80" t="s">
        <v>13</v>
      </c>
      <c r="C15" s="80"/>
      <c r="D15" s="314">
        <f>IFERROR('Cost Schedule'!D9/IS!D6,"")</f>
        <v>0.20695013419974573</v>
      </c>
      <c r="E15" s="314">
        <f>IFERROR('Cost Schedule'!E9/IS!E6,"")</f>
        <v>9.4436189532771997E-2</v>
      </c>
      <c r="F15" s="314">
        <f>IFERROR('Cost Schedule'!F9/IS!F6,"")</f>
        <v>8.6943634836733688E-2</v>
      </c>
      <c r="G15" s="314">
        <f>IFERROR('Cost Schedule'!G9/IS!G6,"")</f>
        <v>4.9977926569053047E-2</v>
      </c>
      <c r="H15" s="314">
        <f>IFERROR('Cost Schedule'!H9/IS!H6,"")</f>
        <v>5.2864901487493114E-2</v>
      </c>
      <c r="I15" s="314">
        <f>IFERROR('Cost Schedule'!I9/IS!I6,"")</f>
        <v>5.039918331005875E-2</v>
      </c>
      <c r="J15" s="314">
        <f>IFERROR('Cost Schedule'!J9/IS!J6,"")</f>
        <v>4.7492683530531744E-2</v>
      </c>
      <c r="K15" s="314">
        <f>IFERROR('Cost Schedule'!K9/IS!K6,"")</f>
        <v>4.5215891695629902E-2</v>
      </c>
      <c r="L15" s="314">
        <f>IFERROR('Cost Schedule'!L9/IS!L6,"")</f>
        <v>4.3724783297972337E-2</v>
      </c>
      <c r="M15" s="314">
        <f>IFERROR('Cost Schedule'!M9/IS!M6,"")</f>
        <v>4.2086478055523457E-2</v>
      </c>
      <c r="N15" s="314">
        <f>IFERROR('Cost Schedule'!N9/IS!N6,"")</f>
        <v>4.1378189043370893E-2</v>
      </c>
      <c r="O15" s="314">
        <f>IFERROR('Cost Schedule'!O9/IS!O6,"")</f>
        <v>4.0565710343369969E-2</v>
      </c>
      <c r="P15" s="97"/>
    </row>
    <row r="16" spans="1:16" x14ac:dyDescent="0.25">
      <c r="A16" s="80" t="s">
        <v>859</v>
      </c>
      <c r="B16" s="80" t="s">
        <v>13</v>
      </c>
      <c r="C16" s="80"/>
      <c r="D16" s="314">
        <f>IFERROR('Cost Schedule'!D10/IS!D6,"")</f>
        <v>0</v>
      </c>
      <c r="E16" s="314">
        <f>IFERROR('Cost Schedule'!E10/IS!E6,"")</f>
        <v>4.2512795113092292E-2</v>
      </c>
      <c r="F16" s="314">
        <f>IFERROR('Cost Schedule'!F10/IS!F6,"")</f>
        <v>3.9421034431655386E-2</v>
      </c>
      <c r="G16" s="314">
        <f>IFERROR('Cost Schedule'!G10/IS!G6,"")</f>
        <v>1.5065116621293503E-2</v>
      </c>
      <c r="H16" s="314">
        <f>IFERROR('Cost Schedule'!H10/IS!H6,"")</f>
        <v>6.5110848288456912E-3</v>
      </c>
      <c r="I16" s="314">
        <f>IFERROR('Cost Schedule'!I10/IS!I6,"")</f>
        <v>4.8493000699570878E-3</v>
      </c>
      <c r="J16" s="314">
        <f>IFERROR('Cost Schedule'!J10/IS!J6,"")</f>
        <v>3.651789637648169E-3</v>
      </c>
      <c r="K16" s="314">
        <f>IFERROR('Cost Schedule'!K10/IS!K6,"")</f>
        <v>2.8581168650171542E-3</v>
      </c>
      <c r="L16" s="314">
        <f>IFERROR('Cost Schedule'!L10/IS!L6,"")</f>
        <v>2.3105737296289933E-3</v>
      </c>
      <c r="M16" s="314">
        <f>IFERROR('Cost Schedule'!M10/IS!M6,"")</f>
        <v>1.912506534338063E-3</v>
      </c>
      <c r="N16" s="314">
        <f>IFERROR('Cost Schedule'!N10/IS!N6,"")</f>
        <v>1.610127405660214E-3</v>
      </c>
      <c r="O16" s="314">
        <f>IFERROR('Cost Schedule'!O10/IS!O6,"")</f>
        <v>1.4126017540885716E-3</v>
      </c>
      <c r="P16" s="97"/>
    </row>
    <row r="17" spans="1:16" x14ac:dyDescent="0.25">
      <c r="D17" s="3"/>
      <c r="E17" s="3"/>
      <c r="F17" s="3"/>
      <c r="G17" s="3"/>
      <c r="H17" s="103"/>
      <c r="I17" s="103"/>
      <c r="J17" s="103"/>
      <c r="K17" s="103"/>
      <c r="L17" s="103"/>
      <c r="M17" s="103"/>
      <c r="N17" s="103"/>
      <c r="O17" s="103"/>
    </row>
    <row r="18" spans="1:16" x14ac:dyDescent="0.25">
      <c r="A18" s="8" t="s">
        <v>207</v>
      </c>
      <c r="D18" s="3"/>
      <c r="E18" s="3"/>
      <c r="F18" s="3"/>
      <c r="G18" s="3"/>
      <c r="H18" s="103"/>
      <c r="I18" s="103"/>
      <c r="J18" s="103"/>
      <c r="K18" s="103"/>
      <c r="L18" s="103"/>
      <c r="M18" s="103"/>
      <c r="N18" s="103"/>
      <c r="O18" s="103"/>
    </row>
    <row r="19" spans="1:16" x14ac:dyDescent="0.25">
      <c r="A19" t="s">
        <v>15</v>
      </c>
      <c r="B19" t="s">
        <v>16</v>
      </c>
      <c r="D19" s="96">
        <f>'Revenue Schedule'!C60</f>
        <v>377</v>
      </c>
      <c r="E19" s="96">
        <f>'Revenue Schedule'!D60</f>
        <v>526</v>
      </c>
      <c r="F19" s="96">
        <f>'Revenue Schedule'!E60</f>
        <v>1301</v>
      </c>
      <c r="G19" s="96">
        <f>'Revenue Schedule'!F60</f>
        <v>2243</v>
      </c>
      <c r="H19" s="96">
        <f>'Revenue Schedule'!G60</f>
        <v>3343</v>
      </c>
      <c r="I19" s="96">
        <f>'Revenue Schedule'!H60</f>
        <v>4543</v>
      </c>
      <c r="J19" s="96">
        <f>'Revenue Schedule'!I60</f>
        <v>5843</v>
      </c>
      <c r="K19" s="96">
        <f>'Revenue Schedule'!J60</f>
        <v>7243</v>
      </c>
      <c r="L19" s="96">
        <f>'Revenue Schedule'!K60</f>
        <v>8693</v>
      </c>
      <c r="M19" s="96">
        <f>'Revenue Schedule'!L60</f>
        <v>10193</v>
      </c>
      <c r="N19" s="96">
        <f>'Revenue Schedule'!M60</f>
        <v>11743</v>
      </c>
      <c r="O19" s="96">
        <f>'Revenue Schedule'!N60</f>
        <v>13343</v>
      </c>
    </row>
    <row r="20" spans="1:16" x14ac:dyDescent="0.25">
      <c r="A20" t="s">
        <v>208</v>
      </c>
      <c r="B20" t="s">
        <v>43</v>
      </c>
      <c r="D20" s="229"/>
      <c r="E20" s="324">
        <f>'Revenue Schedule'!D66</f>
        <v>672</v>
      </c>
      <c r="F20" s="324">
        <f>'Revenue Schedule'!E66</f>
        <v>766</v>
      </c>
      <c r="G20" s="324">
        <f>'Revenue Schedule'!F66</f>
        <v>756</v>
      </c>
      <c r="H20" s="324">
        <f>'Revenue Schedule'!G66</f>
        <v>1200</v>
      </c>
      <c r="I20" s="324">
        <f>'Revenue Schedule'!H66</f>
        <v>1200</v>
      </c>
      <c r="J20" s="324">
        <f>'Revenue Schedule'!I66</f>
        <v>1250</v>
      </c>
      <c r="K20" s="324">
        <f>'Revenue Schedule'!J66</f>
        <v>1300</v>
      </c>
      <c r="L20" s="324">
        <f>'Revenue Schedule'!K66</f>
        <v>1350</v>
      </c>
      <c r="M20" s="324">
        <f>'Revenue Schedule'!L66</f>
        <v>1400</v>
      </c>
      <c r="N20" s="324">
        <f>'Revenue Schedule'!M66</f>
        <v>1450</v>
      </c>
      <c r="O20" s="324">
        <f>'Revenue Schedule'!N66</f>
        <v>1450</v>
      </c>
    </row>
    <row r="21" spans="1:16" x14ac:dyDescent="0.25">
      <c r="A21" t="s">
        <v>209</v>
      </c>
      <c r="B21" t="s">
        <v>9</v>
      </c>
      <c r="D21" s="356">
        <f>IS!D44/'Revenue Schedule'!C60</f>
        <v>-1.4907161803713529</v>
      </c>
      <c r="E21" s="356">
        <f>IS!E44/'Revenue Schedule'!D60</f>
        <v>-0.73003802281368824</v>
      </c>
      <c r="F21" s="356">
        <f>IS!F44/'Revenue Schedule'!E60</f>
        <v>-0.22444273635664874</v>
      </c>
      <c r="G21" s="356">
        <f>IS!G44/'Revenue Schedule'!F60</f>
        <v>-0.12349531876950513</v>
      </c>
      <c r="H21" s="356">
        <f>IS!H44/'Revenue Schedule'!G60</f>
        <v>0.18296948848339814</v>
      </c>
      <c r="I21" s="356">
        <f>IS!I44/'Revenue Schedule'!H60</f>
        <v>0.57022914373761835</v>
      </c>
      <c r="J21" s="356">
        <f>IS!J44/'Revenue Schedule'!I60</f>
        <v>1.0137370571624165</v>
      </c>
      <c r="K21" s="356">
        <f>IS!K44/'Revenue Schedule'!J60</f>
        <v>1.5002467554880574</v>
      </c>
      <c r="L21" s="356">
        <f>IS!L44/'Revenue Schedule'!K60</f>
        <v>2.0324449557114921</v>
      </c>
      <c r="M21" s="356">
        <f>IS!M44/'Revenue Schedule'!L60</f>
        <v>2.3670033356224862</v>
      </c>
      <c r="N21" s="356">
        <f>IS!N44/'Revenue Schedule'!M60</f>
        <v>2.7187666695052375</v>
      </c>
      <c r="O21" s="356">
        <f>IS!O44/'Revenue Schedule'!N60</f>
        <v>2.9851080341752225</v>
      </c>
    </row>
    <row r="22" spans="1:16" x14ac:dyDescent="0.25">
      <c r="A22" t="s">
        <v>210</v>
      </c>
      <c r="B22" t="s">
        <v>13</v>
      </c>
      <c r="D22" s="355">
        <f>'Revenue Schedule'!C52</f>
        <v>0.27318785831740811</v>
      </c>
      <c r="E22" s="355">
        <f>'Revenue Schedule'!D52</f>
        <v>0.28357231239537084</v>
      </c>
      <c r="F22" s="355">
        <f>'Revenue Schedule'!E52</f>
        <v>0.28659241677317265</v>
      </c>
      <c r="G22" s="355">
        <f>'Revenue Schedule'!F52</f>
        <v>0.30789882346748088</v>
      </c>
      <c r="H22" s="355">
        <f>'Revenue Schedule'!G52</f>
        <v>0.315</v>
      </c>
      <c r="I22" s="355">
        <f>'Revenue Schedule'!H52</f>
        <v>0.32</v>
      </c>
      <c r="J22" s="355">
        <f>'Revenue Schedule'!I52</f>
        <v>0.32500000000000001</v>
      </c>
      <c r="K22" s="355">
        <f>'Revenue Schedule'!J52</f>
        <v>0.33</v>
      </c>
      <c r="L22" s="355">
        <f>'Revenue Schedule'!K52</f>
        <v>0.33</v>
      </c>
      <c r="M22" s="355">
        <f>'Revenue Schedule'!L52</f>
        <v>0.33</v>
      </c>
      <c r="N22" s="355">
        <f>'Revenue Schedule'!M52</f>
        <v>0.33</v>
      </c>
      <c r="O22" s="355">
        <f>'Revenue Schedule'!N52</f>
        <v>0.33</v>
      </c>
    </row>
    <row r="23" spans="1:16" x14ac:dyDescent="0.25">
      <c r="D23" s="3"/>
      <c r="E23" s="3"/>
      <c r="F23" s="3"/>
      <c r="G23" s="3"/>
      <c r="H23" s="103"/>
      <c r="I23" s="103"/>
      <c r="J23" s="103"/>
      <c r="K23" s="103"/>
      <c r="L23" s="103"/>
      <c r="M23" s="103"/>
      <c r="N23" s="103"/>
      <c r="O23" s="103"/>
    </row>
    <row r="24" spans="1:16" x14ac:dyDescent="0.25">
      <c r="A24" s="8" t="s">
        <v>211</v>
      </c>
      <c r="D24" s="3"/>
      <c r="E24" s="3"/>
      <c r="F24" s="3"/>
      <c r="G24" s="3"/>
      <c r="H24" s="103"/>
      <c r="I24" s="103"/>
      <c r="J24" s="103"/>
      <c r="K24" s="103"/>
      <c r="L24" s="103"/>
      <c r="M24" s="103"/>
      <c r="N24" s="103"/>
      <c r="O24" s="103"/>
    </row>
    <row r="25" spans="1:16" x14ac:dyDescent="0.25">
      <c r="A25" t="s">
        <v>212</v>
      </c>
      <c r="B25" t="s">
        <v>13</v>
      </c>
      <c r="D25" s="355">
        <f>IFERROR(-CFS!D19/'Revenue Schedule'!C27,"")</f>
        <v>0</v>
      </c>
      <c r="E25" s="355">
        <f>IFERROR(-CFS!E19/'Revenue Schedule'!D27,"")</f>
        <v>1.4913252122554448E-2</v>
      </c>
      <c r="F25" s="355">
        <f>IFERROR(-CFS!F19/'Revenue Schedule'!E27,"")</f>
        <v>4.3107839051720144E-2</v>
      </c>
      <c r="G25" s="355">
        <f>IFERROR(-CFS!G19/'Revenue Schedule'!F27,"")</f>
        <v>3.1232670876339373E-2</v>
      </c>
      <c r="H25" s="355">
        <f>IFERROR(-CFS!H19/'Revenue Schedule'!G27,"")</f>
        <v>2.3981822965292544E-2</v>
      </c>
      <c r="I25" s="355">
        <f>IFERROR(-CFS!I19/'Revenue Schedule'!H27,"")</f>
        <v>1.8880962208290275E-2</v>
      </c>
      <c r="J25" s="355">
        <f>IFERROR(-CFS!J19/'Revenue Schedule'!I27,"")</f>
        <v>1.5101342962500075E-2</v>
      </c>
      <c r="K25" s="355">
        <f>IFERROR(-CFS!K19/'Revenue Schedule'!J27,"")</f>
        <v>1.2479264968086533E-2</v>
      </c>
      <c r="L25" s="355">
        <f>IFERROR(-CFS!L19/'Revenue Schedule'!K27,"")</f>
        <v>1.0298077699285648E-2</v>
      </c>
      <c r="M25" s="355">
        <f>IFERROR(-CFS!M19/'Revenue Schedule'!L27,"")</f>
        <v>8.689770409970177E-3</v>
      </c>
      <c r="N25" s="355">
        <f>IFERROR(-CFS!N19/'Revenue Schedule'!M27,"")</f>
        <v>7.4496865376583515E-3</v>
      </c>
      <c r="O25" s="355">
        <f>IFERROR(-CFS!O19/'Revenue Schedule'!N27,"")</f>
        <v>6.6481221524947462E-3</v>
      </c>
    </row>
    <row r="26" spans="1:16" x14ac:dyDescent="0.25">
      <c r="A26" t="s">
        <v>103</v>
      </c>
      <c r="B26" t="s">
        <v>9</v>
      </c>
      <c r="D26" s="96">
        <f>CFS!D32</f>
        <v>11323</v>
      </c>
      <c r="E26" s="96">
        <f>CFS!E32</f>
        <v>12241</v>
      </c>
      <c r="F26" s="96">
        <f>CFS!F32</f>
        <v>16806</v>
      </c>
      <c r="G26" s="96">
        <f>CFS!G32</f>
        <v>17972</v>
      </c>
      <c r="H26" s="96">
        <f>CFS!H32</f>
        <v>5637.6314996277106</v>
      </c>
      <c r="I26" s="96">
        <f>CFS!I32</f>
        <v>-5378.6029198204778</v>
      </c>
      <c r="J26" s="96">
        <f>CFS!J32</f>
        <v>-13796.349870111462</v>
      </c>
      <c r="K26" s="96">
        <f>CFS!K32</f>
        <v>-20244.157370039047</v>
      </c>
      <c r="L26" s="96">
        <f>CFS!L32</f>
        <v>-19467.867415751913</v>
      </c>
      <c r="M26" s="96">
        <f>CFS!M32</f>
        <v>-10789.257090174626</v>
      </c>
      <c r="N26" s="96">
        <f>CFS!N32</f>
        <v>6940.2003192723387</v>
      </c>
      <c r="O26" s="96">
        <f>CFS!O32</f>
        <v>31344.969653383301</v>
      </c>
    </row>
    <row r="27" spans="1:16" x14ac:dyDescent="0.25">
      <c r="D27" s="3"/>
      <c r="E27" s="3"/>
      <c r="F27" s="3"/>
      <c r="G27" s="3"/>
      <c r="H27" s="103"/>
      <c r="I27" s="103"/>
      <c r="J27" s="103"/>
      <c r="K27" s="103"/>
      <c r="L27" s="103"/>
      <c r="M27" s="103"/>
      <c r="N27" s="103"/>
      <c r="O27" s="103"/>
      <c r="P27"/>
    </row>
    <row r="28" spans="1:16" x14ac:dyDescent="0.25">
      <c r="A28" s="3" t="s">
        <v>993</v>
      </c>
      <c r="D28" s="3"/>
      <c r="E28" s="3"/>
      <c r="F28" s="3"/>
      <c r="G28" s="3"/>
      <c r="H28" s="103"/>
      <c r="I28" s="103"/>
      <c r="J28" s="103"/>
      <c r="K28" s="103"/>
      <c r="L28" s="103"/>
      <c r="M28" s="103"/>
      <c r="N28" s="103"/>
      <c r="O28" s="103"/>
      <c r="P28"/>
    </row>
    <row r="29" spans="1:16" x14ac:dyDescent="0.25">
      <c r="A29" t="s">
        <v>994</v>
      </c>
      <c r="B29" t="s">
        <v>9</v>
      </c>
      <c r="D29" s="335">
        <f>IS!D21*(1-MAX(0,Assumptions!D91))</f>
        <v>-1575.5325443786983</v>
      </c>
      <c r="E29" s="335">
        <f>IS!E21*(1-MAX(0,Assumptions!E91))</f>
        <v>-484</v>
      </c>
      <c r="F29" s="335">
        <f>IS!F21*(1-MAX(0,Assumptions!F91))</f>
        <v>-170.8780487804878</v>
      </c>
      <c r="G29" s="335">
        <f>IS!G21*(1-MAX(0,Assumptions!G91))</f>
        <v>-231.50243902439024</v>
      </c>
      <c r="H29" s="335">
        <f>IS!H21*(1-MAX(0,Assumptions!H91))</f>
        <v>-8129.2885884674743</v>
      </c>
      <c r="I29" s="335">
        <f>IS!I21*(1-MAX(0,Assumptions!I91))</f>
        <v>-7767.8216731780176</v>
      </c>
      <c r="J29" s="335">
        <f>IS!J21*(1-MAX(0,Assumptions!J91))</f>
        <v>-5528.5626655329606</v>
      </c>
      <c r="K29" s="335">
        <f>IS!K21*(1-MAX(0,Assumptions!K91))</f>
        <v>-750.22059951771098</v>
      </c>
      <c r="L29" s="335">
        <f>IS!L21*(1-MAX(0,Assumptions!L91))</f>
        <v>6929.4081272399735</v>
      </c>
      <c r="M29" s="335">
        <f>IS!M21*(1-MAX(0,Assumptions!M91))</f>
        <v>16273.449403474669</v>
      </c>
      <c r="N29" s="335">
        <f>IS!N21*(1-MAX(0,Assumptions!N91))</f>
        <v>25617.791397994391</v>
      </c>
      <c r="O29" s="335">
        <f>IS!O21*(1-MAX(0,Assumptions!O91))</f>
        <v>31477.456757679724</v>
      </c>
      <c r="P29"/>
    </row>
    <row r="30" spans="1:16" x14ac:dyDescent="0.25">
      <c r="A30" t="s">
        <v>995</v>
      </c>
      <c r="B30" t="s">
        <v>9</v>
      </c>
      <c r="D30" s="335">
        <f>BS!D21+BS!D23+BS!D27-BS!D15</f>
        <v>8596</v>
      </c>
      <c r="E30" s="335">
        <f>BS!E21+BS!E23+BS!E27-BS!E15</f>
        <v>8914</v>
      </c>
      <c r="F30" s="335">
        <f>BS!F21+BS!F23+BS!F27-BS!F15</f>
        <v>15549</v>
      </c>
      <c r="G30" s="335">
        <f>BS!G21+BS!G23+BS!G27-BS!G15</f>
        <v>17593</v>
      </c>
      <c r="H30" s="335">
        <f>BS!H21+BS!H23+BS!H27-BS!H15</f>
        <v>26386.216514877215</v>
      </c>
      <c r="I30" s="335">
        <f>BS!I21+BS!I23+BS!I27-BS!I15</f>
        <v>33353.596783847075</v>
      </c>
      <c r="J30" s="335">
        <f>BS!J21+BS!J23+BS!J27-BS!J15</f>
        <v>39068.926746705372</v>
      </c>
      <c r="K30" s="335">
        <f>BS!K21+BS!K23+BS!K27-BS!K15</f>
        <v>46750.475665962833</v>
      </c>
      <c r="L30" s="335">
        <f>BS!L21+BS!L23+BS!L27-BS!L15</f>
        <v>53884.90458120151</v>
      </c>
      <c r="M30" s="335">
        <f>BS!M21+BS!M23+BS!M27-BS!M15</f>
        <v>61783.039919611416</v>
      </c>
      <c r="N30" s="335">
        <f>BS!N21+BS!N23+BS!N27-BS!N15</f>
        <v>70180.883023678442</v>
      </c>
      <c r="O30" s="335">
        <f>BS!O21+BS!O23+BS!O27-BS!O15</f>
        <v>77878.914065143021</v>
      </c>
      <c r="P30"/>
    </row>
    <row r="31" spans="1:16" x14ac:dyDescent="0.25">
      <c r="A31" t="s">
        <v>996</v>
      </c>
      <c r="B31" t="s">
        <v>9</v>
      </c>
      <c r="D31" s="231" t="s">
        <v>1405</v>
      </c>
      <c r="E31" s="168">
        <f>IFERROR(AVERAGE(D30:E30),"")</f>
        <v>8755</v>
      </c>
      <c r="F31" s="168">
        <f t="shared" ref="F31:O31" si="0">IFERROR(AVERAGE(E30:F30),"")</f>
        <v>12231.5</v>
      </c>
      <c r="G31" s="168">
        <f t="shared" si="0"/>
        <v>16571</v>
      </c>
      <c r="H31" s="168">
        <f t="shared" si="0"/>
        <v>21989.608257438609</v>
      </c>
      <c r="I31" s="168">
        <f t="shared" si="0"/>
        <v>29869.906649362143</v>
      </c>
      <c r="J31" s="168">
        <f t="shared" si="0"/>
        <v>36211.261765276227</v>
      </c>
      <c r="K31" s="168">
        <f t="shared" si="0"/>
        <v>42909.701206334103</v>
      </c>
      <c r="L31" s="168">
        <f t="shared" si="0"/>
        <v>50317.690123582172</v>
      </c>
      <c r="M31" s="168">
        <f t="shared" si="0"/>
        <v>57833.972250406463</v>
      </c>
      <c r="N31" s="168">
        <f t="shared" si="0"/>
        <v>65981.961471644929</v>
      </c>
      <c r="O31" s="168">
        <f t="shared" si="0"/>
        <v>74029.898544410738</v>
      </c>
      <c r="P31"/>
    </row>
    <row r="32" spans="1:16" x14ac:dyDescent="0.25">
      <c r="A32" t="s">
        <v>997</v>
      </c>
      <c r="B32" t="s">
        <v>13</v>
      </c>
      <c r="D32" s="232" t="s">
        <v>1405</v>
      </c>
      <c r="E32" s="304">
        <f t="shared" ref="E32:O32" si="1">IFERROR(E29/E31,"n.a.")</f>
        <v>-5.5282695602512852E-2</v>
      </c>
      <c r="F32" s="304">
        <f t="shared" si="1"/>
        <v>-1.3970326516002763E-2</v>
      </c>
      <c r="G32" s="304">
        <f t="shared" si="1"/>
        <v>-1.397033607050813E-2</v>
      </c>
      <c r="H32" s="304">
        <f t="shared" si="1"/>
        <v>-0.36968774037698066</v>
      </c>
      <c r="I32" s="304">
        <f t="shared" si="1"/>
        <v>-0.26005510376591334</v>
      </c>
      <c r="J32" s="304">
        <f t="shared" si="1"/>
        <v>-0.15267522853441193</v>
      </c>
      <c r="K32" s="304">
        <f t="shared" si="1"/>
        <v>-1.7483705978520479E-2</v>
      </c>
      <c r="L32" s="304">
        <f t="shared" si="1"/>
        <v>0.13771316032634015</v>
      </c>
      <c r="M32" s="304">
        <f t="shared" si="1"/>
        <v>0.28138218369325824</v>
      </c>
      <c r="N32" s="304">
        <f t="shared" si="1"/>
        <v>0.38825446874602804</v>
      </c>
      <c r="O32" s="304">
        <f t="shared" si="1"/>
        <v>0.42519924215209226</v>
      </c>
      <c r="P32"/>
    </row>
    <row r="33" spans="1:16" x14ac:dyDescent="0.25">
      <c r="A33" t="s">
        <v>998</v>
      </c>
      <c r="B33" t="s">
        <v>13</v>
      </c>
      <c r="D33" s="232" t="s">
        <v>1405</v>
      </c>
      <c r="E33" s="314">
        <f>IFERROR(E32-DCF!$B$3,"n.a.")</f>
        <v>-0.2024201624963608</v>
      </c>
      <c r="F33" s="314">
        <f>IFERROR(F32-DCF!$B$3,"n.a.")</f>
        <v>-0.16110779340985071</v>
      </c>
      <c r="G33" s="314">
        <f>IFERROR(G32-DCF!$B$3,"n.a.")</f>
        <v>-0.16110780296435606</v>
      </c>
      <c r="H33" s="314">
        <f>IFERROR(H32-DCF!$B$3,"n.a.")</f>
        <v>-0.51682520727082859</v>
      </c>
      <c r="I33" s="314">
        <f>IFERROR(I32-DCF!$B$3,"n.a.")</f>
        <v>-0.40719257065976128</v>
      </c>
      <c r="J33" s="314">
        <f>IFERROR(J32-DCF!$B$3,"n.a.")</f>
        <v>-0.29981269542825983</v>
      </c>
      <c r="K33" s="314">
        <f>IFERROR(K32-DCF!$B$3,"n.a.")</f>
        <v>-0.16462117287236841</v>
      </c>
      <c r="L33" s="314">
        <f>IFERROR(L32-DCF!$B$3,"n.a.")</f>
        <v>-9.4243065675077842E-3</v>
      </c>
      <c r="M33" s="314">
        <f>IFERROR(M32-DCF!$B$3,"n.a.")</f>
        <v>0.1342447167994103</v>
      </c>
      <c r="N33" s="314">
        <f>IFERROR(N32-DCF!$B$3,"n.a.")</f>
        <v>0.2411170018521801</v>
      </c>
      <c r="O33" s="314">
        <f>IFERROR(O32-DCF!$B$3,"n.a.")</f>
        <v>0.27806177525824433</v>
      </c>
      <c r="P33"/>
    </row>
    <row r="34" spans="1:16" x14ac:dyDescent="0.25">
      <c r="A34" t="s">
        <v>999</v>
      </c>
      <c r="B34" t="s">
        <v>13</v>
      </c>
      <c r="D34" s="232" t="s">
        <v>1405</v>
      </c>
      <c r="E34" s="304">
        <f>IFERROR((E29-D29)/(E30-D30),"n.a.")</f>
        <v>3.432492277920435</v>
      </c>
      <c r="F34" s="304">
        <f t="shared" ref="F34:O34" si="2">IFERROR((F29-E29)/(F30-E30),"n.a.")</f>
        <v>4.719245685297848E-2</v>
      </c>
      <c r="G34" s="304">
        <f t="shared" si="2"/>
        <v>-2.9659682115412152E-2</v>
      </c>
      <c r="H34" s="304">
        <f t="shared" si="2"/>
        <v>-0.89816805216621753</v>
      </c>
      <c r="I34" s="304">
        <f t="shared" si="2"/>
        <v>5.1879889045140376E-2</v>
      </c>
      <c r="J34" s="304">
        <f t="shared" si="2"/>
        <v>0.3917987276670164</v>
      </c>
      <c r="K34" s="304">
        <f t="shared" si="2"/>
        <v>0.62205449919560618</v>
      </c>
      <c r="L34" s="304">
        <f t="shared" si="2"/>
        <v>1.0764181433435402</v>
      </c>
      <c r="M34" s="304">
        <f t="shared" si="2"/>
        <v>1.183069278490724</v>
      </c>
      <c r="N34" s="304">
        <f t="shared" si="2"/>
        <v>1.1127073795882556</v>
      </c>
      <c r="O34" s="304">
        <f t="shared" si="2"/>
        <v>0.76119014435287458</v>
      </c>
      <c r="P34"/>
    </row>
    <row r="36" spans="1:16" x14ac:dyDescent="0.25">
      <c r="A36" s="8" t="s">
        <v>213</v>
      </c>
    </row>
    <row r="37" spans="1:16" x14ac:dyDescent="0.25">
      <c r="A37" t="s">
        <v>214</v>
      </c>
      <c r="B37" t="s">
        <v>9</v>
      </c>
      <c r="F37" s="324">
        <f>Assumptions!$B$141*Assumptions!$B$142</f>
        <v>258239</v>
      </c>
      <c r="G37" s="18"/>
      <c r="H37" s="18"/>
      <c r="I37" s="18"/>
      <c r="J37" s="18"/>
      <c r="K37" s="18"/>
      <c r="L37" s="18"/>
      <c r="M37" s="18"/>
      <c r="N37" s="18"/>
      <c r="O37" s="18"/>
    </row>
    <row r="38" spans="1:16" x14ac:dyDescent="0.25">
      <c r="A38" t="s">
        <v>215</v>
      </c>
      <c r="B38" t="s">
        <v>9</v>
      </c>
      <c r="F38" s="324">
        <f>F37-Assumptions!$B$143</f>
        <v>240267</v>
      </c>
      <c r="G38" s="18"/>
      <c r="H38" s="18"/>
      <c r="I38" s="18"/>
      <c r="J38" s="18"/>
      <c r="K38" s="18"/>
      <c r="L38" s="18"/>
      <c r="M38" s="18"/>
      <c r="N38" s="18"/>
      <c r="O38" s="18"/>
    </row>
    <row r="39" spans="1:16" x14ac:dyDescent="0.25">
      <c r="A39" t="s">
        <v>216</v>
      </c>
      <c r="B39" t="s">
        <v>217</v>
      </c>
      <c r="F39" s="263">
        <f>$F$38/IS!H48</f>
        <v>94.836811427779935</v>
      </c>
      <c r="G39" s="30"/>
      <c r="H39" s="30"/>
      <c r="I39" s="30"/>
      <c r="J39" s="30"/>
      <c r="K39" s="30"/>
      <c r="L39" s="30"/>
      <c r="M39" s="30"/>
      <c r="N39" s="30"/>
      <c r="O39" s="30"/>
    </row>
    <row r="40" spans="1:16" x14ac:dyDescent="0.25">
      <c r="A40" t="s">
        <v>218</v>
      </c>
      <c r="B40" t="s">
        <v>217</v>
      </c>
      <c r="F40" s="263">
        <f>$F$38/IS!K48</f>
        <v>13.728432872708938</v>
      </c>
      <c r="G40" s="30"/>
      <c r="H40" s="30"/>
      <c r="I40" s="30"/>
      <c r="J40" s="30"/>
      <c r="K40" s="30"/>
      <c r="L40" s="30"/>
      <c r="M40" s="30"/>
      <c r="N40" s="30"/>
      <c r="O40" s="30"/>
    </row>
    <row r="41" spans="1:16" x14ac:dyDescent="0.25">
      <c r="A41" t="s">
        <v>219</v>
      </c>
      <c r="B41" t="s">
        <v>217</v>
      </c>
      <c r="F41" s="263">
        <f>$F$37/IS!K29</f>
        <v>-80.638762573245373</v>
      </c>
      <c r="G41" s="30"/>
      <c r="H41" s="30"/>
      <c r="I41" s="30"/>
      <c r="J41" s="30"/>
      <c r="K41" s="30"/>
      <c r="L41" s="30"/>
      <c r="M41" s="30"/>
      <c r="N41" s="30"/>
      <c r="O41" s="3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E06DD-2D54-4FAC-90AB-7C8947220775}">
  <dimension ref="A1:C35"/>
  <sheetViews>
    <sheetView topLeftCell="A4" zoomScale="70" zoomScaleNormal="70" workbookViewId="0">
      <selection activeCell="B12" sqref="B12"/>
    </sheetView>
  </sheetViews>
  <sheetFormatPr defaultRowHeight="15" x14ac:dyDescent="0.25"/>
  <cols>
    <col min="1" max="1" width="54.5703125" customWidth="1"/>
    <col min="2" max="2" width="20" customWidth="1"/>
    <col min="3" max="3" width="94.5703125" style="21" customWidth="1"/>
  </cols>
  <sheetData>
    <row r="1" spans="1:3" ht="18.75" x14ac:dyDescent="0.3">
      <c r="A1" s="5" t="s">
        <v>537</v>
      </c>
    </row>
    <row r="3" spans="1:3" x14ac:dyDescent="0.25">
      <c r="A3" s="8" t="s">
        <v>538</v>
      </c>
    </row>
    <row r="4" spans="1:3" ht="30" x14ac:dyDescent="0.25">
      <c r="A4" t="s">
        <v>58</v>
      </c>
      <c r="B4" s="198">
        <f>Assumptions!B134</f>
        <v>6.8000000000000005E-2</v>
      </c>
      <c r="C4" s="21" t="s">
        <v>539</v>
      </c>
    </row>
    <row r="5" spans="1:3" x14ac:dyDescent="0.25">
      <c r="A5" t="s">
        <v>60</v>
      </c>
      <c r="B5" s="198">
        <f>Assumptions!B135</f>
        <v>7.0000000000000007E-2</v>
      </c>
      <c r="C5" s="21" t="s">
        <v>1413</v>
      </c>
    </row>
    <row r="6" spans="1:3" ht="45" x14ac:dyDescent="0.25">
      <c r="A6" t="s">
        <v>540</v>
      </c>
      <c r="B6" s="47">
        <f>'Beta Calc'!B24</f>
        <v>1.1474</v>
      </c>
      <c r="C6" s="21" t="s">
        <v>1415</v>
      </c>
    </row>
    <row r="7" spans="1:3" x14ac:dyDescent="0.25">
      <c r="A7" t="s">
        <v>62</v>
      </c>
      <c r="B7" s="320">
        <f>B4+B6*B5</f>
        <v>0.14831800000000001</v>
      </c>
      <c r="C7" s="21" t="s">
        <v>541</v>
      </c>
    </row>
    <row r="9" spans="1:3" x14ac:dyDescent="0.25">
      <c r="A9" s="8" t="s">
        <v>542</v>
      </c>
    </row>
    <row r="10" spans="1:3" x14ac:dyDescent="0.25">
      <c r="A10" t="s">
        <v>543</v>
      </c>
      <c r="B10" s="19">
        <v>0</v>
      </c>
      <c r="C10" s="21" t="s">
        <v>544</v>
      </c>
    </row>
    <row r="11" spans="1:3" x14ac:dyDescent="0.25">
      <c r="A11" t="s">
        <v>545</v>
      </c>
      <c r="B11" s="64">
        <f>Lease_Schedule!G12</f>
        <v>4592</v>
      </c>
      <c r="C11" s="21" t="s">
        <v>546</v>
      </c>
    </row>
    <row r="12" spans="1:3" x14ac:dyDescent="0.25">
      <c r="A12" t="s">
        <v>547</v>
      </c>
      <c r="B12" s="198">
        <f>Assumptions!B121</f>
        <v>0.10790880908949621</v>
      </c>
      <c r="C12" s="21" t="s">
        <v>548</v>
      </c>
    </row>
    <row r="13" spans="1:3" x14ac:dyDescent="0.25">
      <c r="A13" t="s">
        <v>549</v>
      </c>
      <c r="B13" s="198">
        <f>Assumptions!B157</f>
        <v>0.25169999999999998</v>
      </c>
      <c r="C13" s="21" t="s">
        <v>550</v>
      </c>
    </row>
    <row r="14" spans="1:3" x14ac:dyDescent="0.25">
      <c r="A14" t="s">
        <v>64</v>
      </c>
      <c r="B14" s="320">
        <f>B12*(1-B13)</f>
        <v>8.074816184167001E-2</v>
      </c>
    </row>
    <row r="16" spans="1:3" x14ac:dyDescent="0.25">
      <c r="A16" s="8" t="s">
        <v>551</v>
      </c>
    </row>
    <row r="17" spans="1:3" x14ac:dyDescent="0.25">
      <c r="A17" t="s">
        <v>214</v>
      </c>
      <c r="B17" s="64">
        <f>Assumptions!B141*Assumptions!B142</f>
        <v>258239</v>
      </c>
      <c r="C17" s="21" t="s">
        <v>552</v>
      </c>
    </row>
    <row r="18" spans="1:3" x14ac:dyDescent="0.25">
      <c r="A18" t="s">
        <v>553</v>
      </c>
      <c r="B18" s="331">
        <f>B10+B11</f>
        <v>4592</v>
      </c>
    </row>
    <row r="19" spans="1:3" x14ac:dyDescent="0.25">
      <c r="A19" t="s">
        <v>554</v>
      </c>
      <c r="B19" s="259">
        <f>B17/(B17+B18)</f>
        <v>0.98252869714759672</v>
      </c>
    </row>
    <row r="20" spans="1:3" x14ac:dyDescent="0.25">
      <c r="A20" t="s">
        <v>555</v>
      </c>
      <c r="B20" s="259">
        <f>B18/(B17+B18)</f>
        <v>1.7471302852403257E-2</v>
      </c>
    </row>
    <row r="22" spans="1:3" x14ac:dyDescent="0.25">
      <c r="A22" s="10" t="s">
        <v>556</v>
      </c>
    </row>
    <row r="23" spans="1:3" x14ac:dyDescent="0.25">
      <c r="A23" t="s">
        <v>557</v>
      </c>
      <c r="B23" s="357">
        <f>B7*B19+B14*B20</f>
        <v>0.14713746689384793</v>
      </c>
    </row>
    <row r="25" spans="1:3" x14ac:dyDescent="0.25">
      <c r="A25" s="8" t="s">
        <v>558</v>
      </c>
    </row>
    <row r="26" spans="1:3" x14ac:dyDescent="0.25">
      <c r="A26" t="s">
        <v>559</v>
      </c>
      <c r="B26" s="198">
        <f>Assumptions!B140</f>
        <v>0.05</v>
      </c>
    </row>
    <row r="27" spans="1:3" ht="30" x14ac:dyDescent="0.25">
      <c r="A27" t="s">
        <v>560</v>
      </c>
      <c r="B27" s="358">
        <f>B23-B26</f>
        <v>9.7137466893847932E-2</v>
      </c>
      <c r="C27" s="21" t="s">
        <v>561</v>
      </c>
    </row>
    <row r="28" spans="1:3" x14ac:dyDescent="0.25">
      <c r="A28" t="s">
        <v>562</v>
      </c>
      <c r="B28" s="340">
        <f>1/B27</f>
        <v>10.294688877287715</v>
      </c>
    </row>
    <row r="29" spans="1:3" x14ac:dyDescent="0.25">
      <c r="A29" t="s">
        <v>563</v>
      </c>
      <c r="B29" s="198">
        <f>(1+B7)/(1+Assumptions!B145)-1</f>
        <v>9.8868899521531217E-2</v>
      </c>
    </row>
    <row r="31" spans="1:3" x14ac:dyDescent="0.25">
      <c r="A31" s="8" t="s">
        <v>375</v>
      </c>
    </row>
    <row r="32" spans="1:3" x14ac:dyDescent="0.25">
      <c r="A32" t="s">
        <v>564</v>
      </c>
    </row>
    <row r="33" spans="1:1" x14ac:dyDescent="0.25">
      <c r="A33" t="s">
        <v>565</v>
      </c>
    </row>
    <row r="34" spans="1:1" x14ac:dyDescent="0.25">
      <c r="A34" t="s">
        <v>566</v>
      </c>
    </row>
    <row r="35" spans="1:1" x14ac:dyDescent="0.25">
      <c r="A35" t="s">
        <v>567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42A4-7D68-4B4E-BEEE-68082E3905B3}">
  <dimension ref="A1:F40"/>
  <sheetViews>
    <sheetView topLeftCell="A7" zoomScale="60" zoomScaleNormal="60" workbookViewId="0">
      <selection activeCell="C23" sqref="C23"/>
    </sheetView>
  </sheetViews>
  <sheetFormatPr defaultRowHeight="15" x14ac:dyDescent="0.25"/>
  <cols>
    <col min="1" max="1" width="47.28515625" customWidth="1"/>
    <col min="2" max="2" width="41.85546875" customWidth="1"/>
    <col min="3" max="3" width="78.140625" style="21" customWidth="1"/>
    <col min="4" max="4" width="12.5703125" bestFit="1" customWidth="1"/>
    <col min="5" max="5" width="60" style="21" customWidth="1"/>
    <col min="6" max="6" width="47.28515625" customWidth="1"/>
  </cols>
  <sheetData>
    <row r="1" spans="1:6" ht="18.75" x14ac:dyDescent="0.3">
      <c r="A1" s="5" t="s">
        <v>476</v>
      </c>
      <c r="F1" s="137" t="str">
        <f>Data_Sources!$D$32&amp;" | "&amp;Data_Sources!$E$32&amp;" | "&amp;Data_Sources!$F$32</f>
        <v>Analyst estimate — NOT company disclosure | Beta must be re-run on NSE price history; peer betas are estimates pending filing-based recalculation | n/a</v>
      </c>
    </row>
    <row r="2" spans="1:6" x14ac:dyDescent="0.25">
      <c r="A2" s="2" t="s">
        <v>477</v>
      </c>
    </row>
    <row r="4" spans="1:6" x14ac:dyDescent="0.25">
      <c r="A4" s="8" t="s">
        <v>478</v>
      </c>
    </row>
    <row r="5" spans="1:6" x14ac:dyDescent="0.25">
      <c r="A5" t="s">
        <v>479</v>
      </c>
      <c r="B5" t="s">
        <v>480</v>
      </c>
      <c r="C5" s="21" t="s">
        <v>481</v>
      </c>
    </row>
    <row r="6" spans="1:6" x14ac:dyDescent="0.25">
      <c r="A6" t="s">
        <v>482</v>
      </c>
      <c r="B6" t="s">
        <v>483</v>
      </c>
      <c r="C6" s="21" t="s">
        <v>484</v>
      </c>
    </row>
    <row r="7" spans="1:6" x14ac:dyDescent="0.25">
      <c r="A7" t="s">
        <v>485</v>
      </c>
      <c r="B7" t="s">
        <v>486</v>
      </c>
      <c r="C7" s="21" t="s">
        <v>487</v>
      </c>
    </row>
    <row r="8" spans="1:6" x14ac:dyDescent="0.25">
      <c r="A8" t="s">
        <v>488</v>
      </c>
      <c r="B8" t="s">
        <v>489</v>
      </c>
      <c r="C8" s="21" t="s">
        <v>490</v>
      </c>
    </row>
    <row r="9" spans="1:6" x14ac:dyDescent="0.25">
      <c r="A9" t="s">
        <v>491</v>
      </c>
      <c r="B9" t="s">
        <v>492</v>
      </c>
      <c r="C9" s="21" t="s">
        <v>493</v>
      </c>
    </row>
    <row r="10" spans="1:6" ht="30" x14ac:dyDescent="0.25">
      <c r="A10" t="s">
        <v>494</v>
      </c>
      <c r="B10" s="46" t="s">
        <v>1533</v>
      </c>
      <c r="C10" s="21" t="s">
        <v>1534</v>
      </c>
    </row>
    <row r="12" spans="1:6" x14ac:dyDescent="0.25">
      <c r="A12" s="8" t="s">
        <v>1537</v>
      </c>
      <c r="B12" s="3" t="s">
        <v>495</v>
      </c>
      <c r="C12" s="53" t="s">
        <v>496</v>
      </c>
    </row>
    <row r="13" spans="1:6" ht="30" x14ac:dyDescent="0.25">
      <c r="A13" t="s">
        <v>497</v>
      </c>
      <c r="B13" s="284">
        <f>Assumptions!B154</f>
        <v>1.22</v>
      </c>
      <c r="C13" s="21" t="s">
        <v>1535</v>
      </c>
    </row>
    <row r="14" spans="1:6" x14ac:dyDescent="0.25">
      <c r="A14" t="s">
        <v>498</v>
      </c>
      <c r="B14" s="52" t="s">
        <v>1536</v>
      </c>
    </row>
    <row r="15" spans="1:6" x14ac:dyDescent="0.25">
      <c r="A15" t="s">
        <v>499</v>
      </c>
      <c r="B15" s="32" t="s">
        <v>1536</v>
      </c>
    </row>
    <row r="16" spans="1:6" x14ac:dyDescent="0.25">
      <c r="A16" t="s">
        <v>500</v>
      </c>
      <c r="B16" s="32" t="s">
        <v>1536</v>
      </c>
    </row>
    <row r="17" spans="1:6" x14ac:dyDescent="0.25">
      <c r="A17" t="s">
        <v>501</v>
      </c>
      <c r="B17" s="19" t="s">
        <v>1536</v>
      </c>
    </row>
    <row r="18" spans="1:6" x14ac:dyDescent="0.25">
      <c r="A18" t="s">
        <v>502</v>
      </c>
      <c r="B18" s="33" t="s">
        <v>1536</v>
      </c>
    </row>
    <row r="19" spans="1:6" x14ac:dyDescent="0.25">
      <c r="A19" t="s">
        <v>503</v>
      </c>
      <c r="B19" s="33" t="s">
        <v>1536</v>
      </c>
    </row>
    <row r="20" spans="1:6" x14ac:dyDescent="0.25">
      <c r="B20" s="36"/>
    </row>
    <row r="21" spans="1:6" x14ac:dyDescent="0.25">
      <c r="A21" s="8" t="s">
        <v>504</v>
      </c>
    </row>
    <row r="22" spans="1:6" ht="30" x14ac:dyDescent="0.25">
      <c r="A22" t="s">
        <v>505</v>
      </c>
      <c r="C22" s="21" t="s">
        <v>506</v>
      </c>
    </row>
    <row r="23" spans="1:6" x14ac:dyDescent="0.25">
      <c r="A23" t="s">
        <v>507</v>
      </c>
      <c r="B23" t="s">
        <v>508</v>
      </c>
      <c r="C23" s="21" t="s">
        <v>509</v>
      </c>
    </row>
    <row r="24" spans="1:6" x14ac:dyDescent="0.25">
      <c r="A24" t="s">
        <v>510</v>
      </c>
      <c r="B24" s="94">
        <f>0.67*B13+0.33*1</f>
        <v>1.1474</v>
      </c>
      <c r="C24" s="21" t="s">
        <v>1538</v>
      </c>
    </row>
    <row r="25" spans="1:6" x14ac:dyDescent="0.25">
      <c r="A25" t="s">
        <v>511</v>
      </c>
      <c r="B25" s="94">
        <f>B24-B13</f>
        <v>-7.2599999999999998E-2</v>
      </c>
    </row>
    <row r="27" spans="1:6" x14ac:dyDescent="0.25">
      <c r="A27" s="8" t="s">
        <v>512</v>
      </c>
      <c r="B27" s="3" t="s">
        <v>513</v>
      </c>
      <c r="C27" s="53" t="s">
        <v>497</v>
      </c>
      <c r="D27" s="3" t="s">
        <v>510</v>
      </c>
      <c r="E27" s="53" t="s">
        <v>514</v>
      </c>
    </row>
    <row r="28" spans="1:6" x14ac:dyDescent="0.25">
      <c r="A28" t="s">
        <v>515</v>
      </c>
      <c r="B28" t="s">
        <v>516</v>
      </c>
      <c r="C28" s="359">
        <f>B13</f>
        <v>1.22</v>
      </c>
      <c r="D28" s="94">
        <f>B24</f>
        <v>1.1474</v>
      </c>
      <c r="E28" s="21" t="s">
        <v>517</v>
      </c>
    </row>
    <row r="29" spans="1:6" x14ac:dyDescent="0.25">
      <c r="A29" t="s">
        <v>518</v>
      </c>
      <c r="B29" t="s">
        <v>516</v>
      </c>
      <c r="C29" s="283">
        <v>1.35</v>
      </c>
      <c r="D29" s="94">
        <f>0.67*C29+0.33</f>
        <v>1.2345000000000002</v>
      </c>
      <c r="E29" s="21" t="s">
        <v>519</v>
      </c>
      <c r="F29" t="s">
        <v>1540</v>
      </c>
    </row>
    <row r="30" spans="1:6" x14ac:dyDescent="0.25">
      <c r="A30" t="s">
        <v>520</v>
      </c>
      <c r="B30" t="s">
        <v>521</v>
      </c>
      <c r="C30" s="283">
        <v>1.4</v>
      </c>
      <c r="D30" s="94">
        <f>0.67*C30+0.33</f>
        <v>1.268</v>
      </c>
      <c r="E30" s="21" t="s">
        <v>522</v>
      </c>
      <c r="F30" t="s">
        <v>1540</v>
      </c>
    </row>
    <row r="31" spans="1:6" x14ac:dyDescent="0.25">
      <c r="A31" t="s">
        <v>523</v>
      </c>
      <c r="B31" t="s">
        <v>524</v>
      </c>
      <c r="C31" s="283">
        <v>1.3</v>
      </c>
      <c r="D31" s="94">
        <f>0.67*C31+0.33</f>
        <v>1.2010000000000001</v>
      </c>
      <c r="E31" s="21" t="s">
        <v>525</v>
      </c>
      <c r="F31" t="s">
        <v>1540</v>
      </c>
    </row>
    <row r="32" spans="1:6" x14ac:dyDescent="0.25">
      <c r="A32" t="s">
        <v>526</v>
      </c>
      <c r="B32" t="s">
        <v>527</v>
      </c>
      <c r="C32" s="283">
        <v>1.1000000000000001</v>
      </c>
      <c r="D32" s="94">
        <f>0.67*C32+0.33</f>
        <v>1.0670000000000002</v>
      </c>
      <c r="E32" s="21" t="s">
        <v>528</v>
      </c>
      <c r="F32" t="s">
        <v>1540</v>
      </c>
    </row>
    <row r="33" spans="1:5" ht="30" x14ac:dyDescent="0.25">
      <c r="A33" t="s">
        <v>529</v>
      </c>
      <c r="C33" s="359">
        <f>AVERAGE(C29:C32)</f>
        <v>1.2875000000000001</v>
      </c>
      <c r="D33" s="94">
        <f>AVERAGE(D29:D32)</f>
        <v>1.192625</v>
      </c>
      <c r="E33" s="21" t="s">
        <v>530</v>
      </c>
    </row>
    <row r="34" spans="1:5" x14ac:dyDescent="0.25">
      <c r="A34" s="3" t="s">
        <v>531</v>
      </c>
      <c r="D34" s="360">
        <f>D28</f>
        <v>1.1474</v>
      </c>
      <c r="E34" s="21" t="s">
        <v>1539</v>
      </c>
    </row>
    <row r="36" spans="1:5" x14ac:dyDescent="0.25">
      <c r="A36" s="8" t="s">
        <v>532</v>
      </c>
    </row>
    <row r="37" spans="1:5" x14ac:dyDescent="0.25">
      <c r="A37" t="s">
        <v>533</v>
      </c>
    </row>
    <row r="38" spans="1:5" x14ac:dyDescent="0.25">
      <c r="A38" t="s">
        <v>534</v>
      </c>
    </row>
    <row r="39" spans="1:5" x14ac:dyDescent="0.25">
      <c r="A39" t="s">
        <v>535</v>
      </c>
    </row>
    <row r="40" spans="1:5" x14ac:dyDescent="0.25">
      <c r="A40" t="s">
        <v>536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5AAD2-AF56-4D26-9DFD-A1ECE8FFD4A8}">
  <dimension ref="A1:P23"/>
  <sheetViews>
    <sheetView zoomScale="70" zoomScaleNormal="70" workbookViewId="0">
      <pane xSplit="2" topLeftCell="C1" activePane="topRight" state="frozen"/>
      <selection pane="topRight" activeCell="A5" sqref="A5:A11"/>
    </sheetView>
  </sheetViews>
  <sheetFormatPr defaultRowHeight="15" x14ac:dyDescent="0.25"/>
  <cols>
    <col min="1" max="1" width="50.85546875" customWidth="1"/>
    <col min="2" max="2" width="9.42578125" customWidth="1"/>
    <col min="3" max="3" width="2.5703125" customWidth="1"/>
    <col min="4" max="15" width="13.140625" customWidth="1"/>
  </cols>
  <sheetData>
    <row r="1" spans="1:16" ht="18.75" x14ac:dyDescent="0.3">
      <c r="A1" s="5" t="s">
        <v>926</v>
      </c>
      <c r="P1" s="179"/>
    </row>
    <row r="2" spans="1:16" x14ac:dyDescent="0.25">
      <c r="A2" s="3" t="s">
        <v>75</v>
      </c>
      <c r="B2" s="3" t="s">
        <v>5</v>
      </c>
      <c r="C2" s="3"/>
      <c r="D2" s="3" t="s">
        <v>678</v>
      </c>
      <c r="E2" s="3" t="s">
        <v>679</v>
      </c>
      <c r="F2" s="3" t="s">
        <v>23</v>
      </c>
      <c r="G2" s="3" t="s">
        <v>6</v>
      </c>
      <c r="H2" s="3" t="s">
        <v>24</v>
      </c>
      <c r="I2" s="3" t="s">
        <v>25</v>
      </c>
      <c r="J2" s="3" t="s">
        <v>26</v>
      </c>
      <c r="K2" s="3" t="s">
        <v>27</v>
      </c>
      <c r="L2" s="3" t="s">
        <v>28</v>
      </c>
      <c r="M2" s="3" t="s">
        <v>29</v>
      </c>
      <c r="N2" s="3" t="s">
        <v>30</v>
      </c>
      <c r="O2" s="3" t="s">
        <v>7</v>
      </c>
      <c r="P2" s="179"/>
    </row>
    <row r="3" spans="1:16" x14ac:dyDescent="0.25">
      <c r="P3" s="179"/>
    </row>
    <row r="4" spans="1:16" x14ac:dyDescent="0.25">
      <c r="A4" s="8" t="s">
        <v>927</v>
      </c>
      <c r="P4" s="179" t="s">
        <v>943</v>
      </c>
    </row>
    <row r="5" spans="1:16" x14ac:dyDescent="0.25">
      <c r="A5" t="s">
        <v>928</v>
      </c>
      <c r="B5" t="s">
        <v>729</v>
      </c>
      <c r="D5" s="174"/>
      <c r="E5" s="174"/>
      <c r="F5" s="174"/>
      <c r="G5" s="174"/>
      <c r="H5" s="174">
        <f>G9</f>
        <v>919</v>
      </c>
      <c r="I5" s="174">
        <f>H9</f>
        <v>927.78536509092055</v>
      </c>
      <c r="J5" s="174">
        <f t="shared" ref="J5:O5" si="0">I9</f>
        <v>935.7060253958291</v>
      </c>
      <c r="K5" s="174">
        <f t="shared" si="0"/>
        <v>942.76040868672783</v>
      </c>
      <c r="L5" s="174">
        <f t="shared" si="0"/>
        <v>949.04015642562058</v>
      </c>
      <c r="M5" s="174">
        <f t="shared" si="0"/>
        <v>954.62768879390705</v>
      </c>
      <c r="N5" s="174">
        <f t="shared" si="0"/>
        <v>959.5970579370337</v>
      </c>
      <c r="O5" s="174">
        <f t="shared" si="0"/>
        <v>964.01473463194031</v>
      </c>
      <c r="P5" s="179"/>
    </row>
    <row r="6" spans="1:16" x14ac:dyDescent="0.25">
      <c r="A6" t="s">
        <v>929</v>
      </c>
      <c r="B6" t="s">
        <v>729</v>
      </c>
      <c r="D6" s="174"/>
      <c r="E6" s="174"/>
      <c r="F6" s="174"/>
      <c r="G6" s="174"/>
      <c r="H6" s="174">
        <f>IFERROR(H14/H17,"n.a.")</f>
        <v>8.7853650909206049</v>
      </c>
      <c r="I6" s="174">
        <f t="shared" ref="I6:O6" si="1">IFERROR(I14/I17,"n.a.")</f>
        <v>7.9206603049085009</v>
      </c>
      <c r="J6" s="174">
        <f t="shared" si="1"/>
        <v>7.0543832908987234</v>
      </c>
      <c r="K6" s="174">
        <f t="shared" si="1"/>
        <v>6.2797477388927154</v>
      </c>
      <c r="L6" s="174">
        <f t="shared" si="1"/>
        <v>5.5875323682865163</v>
      </c>
      <c r="M6" s="174">
        <f t="shared" si="1"/>
        <v>4.9693691431266149</v>
      </c>
      <c r="N6" s="174">
        <f t="shared" si="1"/>
        <v>4.4176766949065964</v>
      </c>
      <c r="O6" s="174">
        <f t="shared" si="1"/>
        <v>3.925596709404179</v>
      </c>
      <c r="P6" s="179"/>
    </row>
    <row r="7" spans="1:16" x14ac:dyDescent="0.25">
      <c r="A7" t="s">
        <v>930</v>
      </c>
      <c r="B7" t="s">
        <v>729</v>
      </c>
      <c r="D7" s="174"/>
      <c r="E7" s="174"/>
      <c r="F7" s="174"/>
      <c r="G7" s="174"/>
      <c r="H7" s="178">
        <v>0</v>
      </c>
      <c r="I7" s="178">
        <v>0</v>
      </c>
      <c r="J7" s="178">
        <v>0</v>
      </c>
      <c r="K7" s="178">
        <v>0</v>
      </c>
      <c r="L7" s="178">
        <v>0</v>
      </c>
      <c r="M7" s="178">
        <v>0</v>
      </c>
      <c r="N7" s="178">
        <v>0</v>
      </c>
      <c r="O7" s="178">
        <v>0</v>
      </c>
      <c r="P7" s="179"/>
    </row>
    <row r="8" spans="1:16" x14ac:dyDescent="0.25">
      <c r="A8" t="s">
        <v>931</v>
      </c>
      <c r="B8" t="s">
        <v>729</v>
      </c>
      <c r="D8" s="174"/>
      <c r="E8" s="174"/>
      <c r="F8" s="174"/>
      <c r="G8" s="174"/>
      <c r="H8" s="178">
        <v>0</v>
      </c>
      <c r="I8" s="178">
        <v>0</v>
      </c>
      <c r="J8" s="178">
        <v>0</v>
      </c>
      <c r="K8" s="178">
        <v>0</v>
      </c>
      <c r="L8" s="178">
        <v>0</v>
      </c>
      <c r="M8" s="178">
        <v>0</v>
      </c>
      <c r="N8" s="178">
        <v>0</v>
      </c>
      <c r="O8" s="178">
        <v>0</v>
      </c>
      <c r="P8" s="179"/>
    </row>
    <row r="9" spans="1:16" x14ac:dyDescent="0.25">
      <c r="A9" s="3" t="s">
        <v>932</v>
      </c>
      <c r="B9" s="3" t="s">
        <v>729</v>
      </c>
      <c r="C9" s="3"/>
      <c r="D9" s="175"/>
      <c r="E9" s="175"/>
      <c r="F9" s="175"/>
      <c r="G9" s="361">
        <f>Assumptions!$B$141</f>
        <v>919</v>
      </c>
      <c r="H9" s="175">
        <f>H5+H6+H7-H8</f>
        <v>927.78536509092055</v>
      </c>
      <c r="I9" s="175">
        <f t="shared" ref="I9:O9" si="2">I5+I6+I7-I8</f>
        <v>935.7060253958291</v>
      </c>
      <c r="J9" s="175">
        <f t="shared" si="2"/>
        <v>942.76040868672783</v>
      </c>
      <c r="K9" s="175">
        <f t="shared" si="2"/>
        <v>949.04015642562058</v>
      </c>
      <c r="L9" s="175">
        <f t="shared" si="2"/>
        <v>954.62768879390705</v>
      </c>
      <c r="M9" s="175">
        <f t="shared" si="2"/>
        <v>959.5970579370337</v>
      </c>
      <c r="N9" s="175">
        <f t="shared" si="2"/>
        <v>964.01473463194031</v>
      </c>
      <c r="O9" s="175">
        <f t="shared" si="2"/>
        <v>967.94033134134452</v>
      </c>
      <c r="P9" s="179"/>
    </row>
    <row r="10" spans="1:16" x14ac:dyDescent="0.25">
      <c r="A10" t="s">
        <v>933</v>
      </c>
      <c r="B10" t="s">
        <v>13</v>
      </c>
      <c r="D10" s="173"/>
      <c r="E10" s="173"/>
      <c r="F10" s="173"/>
      <c r="G10" s="173"/>
      <c r="H10" s="173">
        <f>IFERROR(H6/H5,"n.a.")</f>
        <v>9.5597008606317785E-3</v>
      </c>
      <c r="I10" s="173">
        <f t="shared" ref="I10:O10" si="3">IFERROR(I6/I5,"n.a.")</f>
        <v>8.5371688355229628E-3</v>
      </c>
      <c r="J10" s="173">
        <f t="shared" si="3"/>
        <v>7.5391021319057205E-3</v>
      </c>
      <c r="K10" s="173">
        <f t="shared" si="3"/>
        <v>6.6610219107953953E-3</v>
      </c>
      <c r="L10" s="173">
        <f t="shared" si="3"/>
        <v>5.8875615857298339E-3</v>
      </c>
      <c r="M10" s="173">
        <f t="shared" si="3"/>
        <v>5.2055573093684315E-3</v>
      </c>
      <c r="N10" s="173">
        <f t="shared" si="3"/>
        <v>4.6036788653810914E-3</v>
      </c>
      <c r="O10" s="173">
        <f t="shared" si="3"/>
        <v>4.0721335145390359E-3</v>
      </c>
      <c r="P10" s="179"/>
    </row>
    <row r="11" spans="1:16" x14ac:dyDescent="0.25">
      <c r="A11" t="s">
        <v>934</v>
      </c>
      <c r="B11" t="s">
        <v>13</v>
      </c>
      <c r="D11" s="173"/>
      <c r="E11" s="173"/>
      <c r="F11" s="173"/>
      <c r="G11" s="173"/>
      <c r="H11" s="173">
        <f>IFERROR(H9/$G$9-1,"n.a.")</f>
        <v>9.5597008606316258E-3</v>
      </c>
      <c r="I11" s="173">
        <f t="shared" ref="I11:O11" si="4">IFERROR(I9/$G$9-1,"n.a.")</f>
        <v>1.8178482476419067E-2</v>
      </c>
      <c r="J11" s="173">
        <f t="shared" si="4"/>
        <v>2.5854634044317537E-2</v>
      </c>
      <c r="K11" s="173">
        <f t="shared" si="4"/>
        <v>3.2687874238977788E-2</v>
      </c>
      <c r="L11" s="173">
        <f t="shared" si="4"/>
        <v>3.8767887697396253E-2</v>
      </c>
      <c r="M11" s="173">
        <f t="shared" si="4"/>
        <v>4.4175253467936493E-2</v>
      </c>
      <c r="N11" s="173">
        <f t="shared" si="4"/>
        <v>4.8982301014080853E-2</v>
      </c>
      <c r="O11" s="173">
        <f t="shared" si="4"/>
        <v>5.3253896998198602E-2</v>
      </c>
      <c r="P11" s="179"/>
    </row>
    <row r="12" spans="1:16" x14ac:dyDescent="0.25">
      <c r="D12" s="80"/>
      <c r="E12" s="80"/>
      <c r="F12" s="80"/>
      <c r="G12" s="80"/>
      <c r="H12" s="169"/>
      <c r="I12" s="169"/>
      <c r="J12" s="169"/>
      <c r="K12" s="169"/>
      <c r="L12" s="169"/>
      <c r="M12" s="169"/>
      <c r="N12" s="169"/>
      <c r="O12" s="169"/>
      <c r="P12" s="179"/>
    </row>
    <row r="13" spans="1:16" x14ac:dyDescent="0.25">
      <c r="A13" s="8" t="s">
        <v>935</v>
      </c>
      <c r="D13" s="80"/>
      <c r="E13" s="80"/>
      <c r="F13" s="80"/>
      <c r="G13" s="80"/>
      <c r="H13" s="169"/>
      <c r="I13" s="169"/>
      <c r="J13" s="169"/>
      <c r="K13" s="169"/>
      <c r="L13" s="169"/>
      <c r="M13" s="169"/>
      <c r="N13" s="169"/>
      <c r="O13" s="169"/>
      <c r="P13" s="179"/>
    </row>
    <row r="14" spans="1:16" x14ac:dyDescent="0.25">
      <c r="A14" t="s">
        <v>821</v>
      </c>
      <c r="B14" t="s">
        <v>9</v>
      </c>
      <c r="D14" s="190">
        <f>IFERROR('ESOP Schedule'!C5,"")</f>
        <v>0</v>
      </c>
      <c r="E14" s="190">
        <f>IFERROR('ESOP Schedule'!D5,"")</f>
        <v>515</v>
      </c>
      <c r="F14" s="190">
        <f>IFERROR('ESOP Schedule'!E5,"")</f>
        <v>798</v>
      </c>
      <c r="G14" s="190">
        <f>IFERROR('ESOP Schedule'!F5,"")</f>
        <v>819</v>
      </c>
      <c r="H14" s="190">
        <f>IFERROR('ESOP Schedule'!G5,"")</f>
        <v>850</v>
      </c>
      <c r="I14" s="190">
        <f>IFERROR('ESOP Schedule'!H5,"")</f>
        <v>880</v>
      </c>
      <c r="J14" s="190">
        <f>IFERROR('ESOP Schedule'!I5,"")</f>
        <v>900</v>
      </c>
      <c r="K14" s="190">
        <f>IFERROR('ESOP Schedule'!J5,"")</f>
        <v>920</v>
      </c>
      <c r="L14" s="190">
        <f>IFERROR('ESOP Schedule'!K5,"")</f>
        <v>940</v>
      </c>
      <c r="M14" s="190">
        <f>IFERROR('ESOP Schedule'!L5,"")</f>
        <v>960</v>
      </c>
      <c r="N14" s="190">
        <f>IFERROR('ESOP Schedule'!M5,"")</f>
        <v>980</v>
      </c>
      <c r="O14" s="190">
        <f>IFERROR('ESOP Schedule'!N5,"")</f>
        <v>1000</v>
      </c>
      <c r="P14" s="179"/>
    </row>
    <row r="15" spans="1:16" x14ac:dyDescent="0.25">
      <c r="D15" s="80"/>
      <c r="E15" s="80"/>
      <c r="F15" s="80"/>
      <c r="G15" s="80"/>
      <c r="H15" s="169"/>
      <c r="I15" s="169"/>
      <c r="J15" s="169"/>
      <c r="K15" s="169"/>
      <c r="L15" s="169"/>
      <c r="M15" s="169"/>
      <c r="N15" s="169"/>
      <c r="O15" s="169"/>
      <c r="P15" s="179"/>
    </row>
    <row r="16" spans="1:16" x14ac:dyDescent="0.25">
      <c r="A16" s="8" t="s">
        <v>936</v>
      </c>
      <c r="D16" s="80"/>
      <c r="E16" s="80"/>
      <c r="F16" s="80"/>
      <c r="G16" s="80"/>
      <c r="H16" s="169"/>
      <c r="I16" s="169"/>
      <c r="J16" s="169"/>
      <c r="K16" s="169"/>
      <c r="L16" s="169"/>
      <c r="M16" s="169"/>
      <c r="N16" s="169"/>
      <c r="O16" s="169"/>
      <c r="P16" s="179" t="str">
        <f>"Forecast average share price is linked to the DCF (H17 = DCF!B32 = "&amp;TEXT(DCF!B32,"0.00")&amp;"); later years compound at the cost of equity."</f>
        <v>Forecast average share price is linked to the DCF (H17 = DCF!B32 = 96.75); later years compound at the cost of equity.</v>
      </c>
    </row>
    <row r="17" spans="1:16" x14ac:dyDescent="0.25">
      <c r="A17" t="s">
        <v>937</v>
      </c>
      <c r="B17" t="s">
        <v>18</v>
      </c>
      <c r="D17" s="151"/>
      <c r="E17" s="151"/>
      <c r="F17" s="151"/>
      <c r="G17" s="151"/>
      <c r="H17" s="190">
        <f>DCF!$B$32</f>
        <v>96.751812952935552</v>
      </c>
      <c r="I17" s="151">
        <f>H17*(1+I18)</f>
        <v>111.10184834648905</v>
      </c>
      <c r="J17" s="151">
        <f t="shared" ref="J17:O17" si="5">I17*(1+J18)</f>
        <v>127.58025228954361</v>
      </c>
      <c r="K17" s="151">
        <f t="shared" si="5"/>
        <v>146.50270014862414</v>
      </c>
      <c r="L17" s="151">
        <f t="shared" si="5"/>
        <v>168.23168762926778</v>
      </c>
      <c r="M17" s="151">
        <f t="shared" si="5"/>
        <v>193.1834750750655</v>
      </c>
      <c r="N17" s="151">
        <f t="shared" si="5"/>
        <v>221.83606173124906</v>
      </c>
      <c r="O17" s="151">
        <f t="shared" si="5"/>
        <v>254.73834273510445</v>
      </c>
      <c r="P17" s="179"/>
    </row>
    <row r="18" spans="1:16" x14ac:dyDescent="0.25">
      <c r="A18" t="s">
        <v>938</v>
      </c>
      <c r="B18" t="s">
        <v>13</v>
      </c>
      <c r="D18" s="66"/>
      <c r="E18" s="66"/>
      <c r="F18" s="66"/>
      <c r="G18" s="66"/>
      <c r="H18" s="67">
        <f>'ERP &amp; Rf'!$B$7</f>
        <v>0.14831800000000001</v>
      </c>
      <c r="I18" s="67">
        <f>'ERP &amp; Rf'!$B$7</f>
        <v>0.14831800000000001</v>
      </c>
      <c r="J18" s="67">
        <f>'ERP &amp; Rf'!$B$7</f>
        <v>0.14831800000000001</v>
      </c>
      <c r="K18" s="67">
        <f>'ERP &amp; Rf'!$B$7</f>
        <v>0.14831800000000001</v>
      </c>
      <c r="L18" s="67">
        <f>'ERP &amp; Rf'!$B$7</f>
        <v>0.14831800000000001</v>
      </c>
      <c r="M18" s="67">
        <f>'ERP &amp; Rf'!$B$7</f>
        <v>0.14831800000000001</v>
      </c>
      <c r="N18" s="67">
        <f>'ERP &amp; Rf'!$B$7</f>
        <v>0.14831800000000001</v>
      </c>
      <c r="O18" s="67">
        <f>'ERP &amp; Rf'!$B$7</f>
        <v>0.14831800000000001</v>
      </c>
      <c r="P18" s="179"/>
    </row>
    <row r="19" spans="1:16" x14ac:dyDescent="0.25">
      <c r="D19" s="80"/>
      <c r="E19" s="80"/>
      <c r="F19" s="80"/>
      <c r="G19" s="80"/>
      <c r="H19" s="169"/>
      <c r="I19" s="169"/>
      <c r="J19" s="169"/>
      <c r="K19" s="169"/>
      <c r="L19" s="169"/>
      <c r="M19" s="169"/>
      <c r="N19" s="169"/>
      <c r="O19" s="169"/>
      <c r="P19" s="179"/>
    </row>
    <row r="20" spans="1:16" x14ac:dyDescent="0.25">
      <c r="A20" s="8" t="s">
        <v>939</v>
      </c>
      <c r="D20" s="80"/>
      <c r="E20" s="80"/>
      <c r="F20" s="80"/>
      <c r="G20" s="80"/>
      <c r="H20" s="169"/>
      <c r="I20" s="169"/>
      <c r="J20" s="169"/>
      <c r="K20" s="169"/>
      <c r="L20" s="169"/>
      <c r="M20" s="169"/>
      <c r="N20" s="169"/>
      <c r="O20" s="169"/>
      <c r="P20" s="179"/>
    </row>
    <row r="21" spans="1:16" x14ac:dyDescent="0.25">
      <c r="A21" s="2" t="s">
        <v>940</v>
      </c>
      <c r="B21" s="2" t="s">
        <v>729</v>
      </c>
      <c r="C21" s="2"/>
      <c r="D21" s="176"/>
      <c r="E21" s="176"/>
      <c r="F21" s="176"/>
      <c r="G21" s="176"/>
      <c r="H21" s="176">
        <f>IFERROR(ROUND(H9-(H5+H6+H7-H8),6),"n.a.")</f>
        <v>0</v>
      </c>
      <c r="I21" s="176">
        <f t="shared" ref="I21:O21" si="6">IFERROR(ROUND(I9-(I5+I6+I7-I8),6),"n.a.")</f>
        <v>0</v>
      </c>
      <c r="J21" s="176">
        <f t="shared" si="6"/>
        <v>0</v>
      </c>
      <c r="K21" s="176">
        <f t="shared" si="6"/>
        <v>0</v>
      </c>
      <c r="L21" s="176">
        <f t="shared" si="6"/>
        <v>0</v>
      </c>
      <c r="M21" s="176">
        <f t="shared" si="6"/>
        <v>0</v>
      </c>
      <c r="N21" s="176">
        <f t="shared" si="6"/>
        <v>0</v>
      </c>
      <c r="O21" s="176">
        <f t="shared" si="6"/>
        <v>0</v>
      </c>
      <c r="P21" s="179"/>
    </row>
    <row r="22" spans="1:16" x14ac:dyDescent="0.25">
      <c r="A22" s="2" t="s">
        <v>941</v>
      </c>
      <c r="B22" s="2" t="s">
        <v>729</v>
      </c>
      <c r="C22" s="2"/>
      <c r="D22" s="176"/>
      <c r="E22" s="176"/>
      <c r="F22" s="176"/>
      <c r="G22" s="362">
        <f>DCF!$B$30</f>
        <v>919</v>
      </c>
      <c r="H22" s="177"/>
      <c r="I22" s="177"/>
      <c r="J22" s="177"/>
      <c r="K22" s="177"/>
      <c r="L22" s="177"/>
      <c r="M22" s="177"/>
      <c r="N22" s="177"/>
      <c r="O22" s="177"/>
      <c r="P22" s="179"/>
    </row>
    <row r="23" spans="1:16" x14ac:dyDescent="0.25">
      <c r="A23" s="2" t="s">
        <v>942</v>
      </c>
      <c r="B23" s="2" t="s">
        <v>729</v>
      </c>
      <c r="C23" s="2"/>
      <c r="D23" s="176"/>
      <c r="E23" s="176"/>
      <c r="F23" s="176"/>
      <c r="G23" s="176">
        <f>IFERROR(ROUND(G22-G9,6),"n.a.")</f>
        <v>0</v>
      </c>
      <c r="H23" s="177"/>
      <c r="I23" s="177"/>
      <c r="J23" s="177"/>
      <c r="K23" s="177"/>
      <c r="L23" s="177"/>
      <c r="M23" s="177"/>
      <c r="N23" s="177"/>
      <c r="O23" s="177"/>
      <c r="P23" s="17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0B8EF-AC08-4C6F-A1F7-0A4442A29844}">
  <dimension ref="A1:K58"/>
  <sheetViews>
    <sheetView zoomScale="60" zoomScaleNormal="60" workbookViewId="0">
      <selection activeCell="B20" sqref="B20"/>
    </sheetView>
  </sheetViews>
  <sheetFormatPr defaultRowHeight="15" x14ac:dyDescent="0.25"/>
  <cols>
    <col min="1" max="1" width="76.140625" customWidth="1"/>
    <col min="2" max="2" width="11.140625" customWidth="1"/>
    <col min="3" max="3" width="34.28515625" style="21" customWidth="1"/>
    <col min="10" max="10" width="12.28515625" customWidth="1"/>
  </cols>
  <sheetData>
    <row r="1" spans="1:11" ht="18.75" x14ac:dyDescent="0.3">
      <c r="A1" s="5" t="s">
        <v>119</v>
      </c>
      <c r="J1" s="137"/>
    </row>
    <row r="2" spans="1:11" x14ac:dyDescent="0.25">
      <c r="B2" s="37"/>
      <c r="C2" s="233"/>
    </row>
    <row r="3" spans="1:11" ht="15.75" x14ac:dyDescent="0.25">
      <c r="A3" s="195" t="s">
        <v>120</v>
      </c>
      <c r="B3" s="363">
        <f>Assumptions!B139</f>
        <v>0.14713746689384793</v>
      </c>
    </row>
    <row r="4" spans="1:11" ht="15.75" x14ac:dyDescent="0.25">
      <c r="A4" s="195" t="s">
        <v>67</v>
      </c>
      <c r="B4" s="314">
        <f>Assumptions!B140</f>
        <v>0.05</v>
      </c>
    </row>
    <row r="6" spans="1:11" x14ac:dyDescent="0.25">
      <c r="A6" s="8" t="s">
        <v>121</v>
      </c>
      <c r="D6" s="11" t="s">
        <v>24</v>
      </c>
      <c r="E6" s="41" t="s">
        <v>25</v>
      </c>
      <c r="F6" s="11" t="s">
        <v>26</v>
      </c>
      <c r="G6" s="11" t="s">
        <v>27</v>
      </c>
      <c r="H6" s="11" t="s">
        <v>28</v>
      </c>
      <c r="I6" s="11" t="s">
        <v>29</v>
      </c>
      <c r="J6" s="11" t="s">
        <v>30</v>
      </c>
      <c r="K6" s="11" t="s">
        <v>7</v>
      </c>
    </row>
    <row r="7" spans="1:11" x14ac:dyDescent="0.25">
      <c r="A7" t="s">
        <v>976</v>
      </c>
      <c r="D7" s="364">
        <f>IS!H39</f>
        <v>-6678.140962140511</v>
      </c>
      <c r="E7" s="365">
        <f>IS!I39</f>
        <v>-5701.4178935619093</v>
      </c>
      <c r="F7" s="364">
        <f>IS!J39</f>
        <v>-3085.0889928991746</v>
      </c>
      <c r="G7" s="364">
        <f>IS!K39</f>
        <v>1857.7829597856871</v>
      </c>
      <c r="H7" s="364">
        <f>IS!L39</f>
        <v>9479.6059162853344</v>
      </c>
      <c r="I7" s="364">
        <f>IS!M39</f>
        <v>18533.963356798005</v>
      </c>
      <c r="J7" s="364">
        <f>IS!N39</f>
        <v>32383.708199397959</v>
      </c>
      <c r="K7" s="364">
        <f>IS!O39</f>
        <v>43083.403404232668</v>
      </c>
    </row>
    <row r="8" spans="1:11" x14ac:dyDescent="0.25">
      <c r="A8" t="s">
        <v>977</v>
      </c>
      <c r="D8" s="364">
        <f>-MAX(0,D7-FA_Schedule!G34-FA_Schedule!G36)*Assumptions!H91</f>
        <v>0</v>
      </c>
      <c r="E8" s="365">
        <f>-MAX(0,E7-FA_Schedule!H34-FA_Schedule!H36)*Assumptions!I91</f>
        <v>0</v>
      </c>
      <c r="F8" s="364">
        <f>-MAX(0,F7-FA_Schedule!I34-FA_Schedule!I36)*Assumptions!J91</f>
        <v>0</v>
      </c>
      <c r="G8" s="364">
        <f>-MAX(0,G7-FA_Schedule!J34-FA_Schedule!J36)*Assumptions!K91</f>
        <v>0</v>
      </c>
      <c r="H8" s="364">
        <f>-MAX(0,H7-FA_Schedule!K34-FA_Schedule!K36)*Assumptions!L91</f>
        <v>0</v>
      </c>
      <c r="I8" s="364">
        <f>-MAX(0,I7-FA_Schedule!L34-FA_Schedule!L36)*Assumptions!M91</f>
        <v>0</v>
      </c>
      <c r="J8" s="364">
        <f>-MAX(0,J7-FA_Schedule!M34-FA_Schedule!M36)*Assumptions!N91</f>
        <v>-4631.6108043859667</v>
      </c>
      <c r="K8" s="364">
        <f>-MAX(0,K7-FA_Schedule!N34-FA_Schedule!N36)*Assumptions!O91</f>
        <v>-9751.621782251179</v>
      </c>
    </row>
    <row r="9" spans="1:11" x14ac:dyDescent="0.25">
      <c r="A9" t="s">
        <v>122</v>
      </c>
      <c r="D9" s="364">
        <f>CFS!H19</f>
        <v>-3200</v>
      </c>
      <c r="E9" s="365">
        <f>CFS!I19</f>
        <v>-3500</v>
      </c>
      <c r="F9" s="364">
        <f>CFS!J19</f>
        <v>-3800</v>
      </c>
      <c r="G9" s="364">
        <f>CFS!K19</f>
        <v>-4100</v>
      </c>
      <c r="H9" s="364">
        <f>CFS!L19</f>
        <v>-4275</v>
      </c>
      <c r="I9" s="364">
        <f>CFS!M19</f>
        <v>-4450</v>
      </c>
      <c r="J9" s="364">
        <f>CFS!N19</f>
        <v>-4625</v>
      </c>
      <c r="K9" s="364">
        <f>CFS!O19</f>
        <v>-4800</v>
      </c>
    </row>
    <row r="10" spans="1:11" x14ac:dyDescent="0.25">
      <c r="A10" t="s">
        <v>123</v>
      </c>
      <c r="D10" s="364">
        <f>CFS!H14</f>
        <v>-4474.4075382317787</v>
      </c>
      <c r="E10" s="365">
        <f>CFS!I14</f>
        <v>-3061.2625733620807</v>
      </c>
      <c r="F10" s="364">
        <f>CFS!J14</f>
        <v>-2083.0487676034791</v>
      </c>
      <c r="G10" s="364">
        <f>CFS!K14</f>
        <v>-4228.8277181560261</v>
      </c>
      <c r="H10" s="364">
        <f>CFS!L14</f>
        <v>-4052.4457329456636</v>
      </c>
      <c r="I10" s="364">
        <f>CFS!M14</f>
        <v>-5099.9416491968441</v>
      </c>
      <c r="J10" s="364">
        <f>CFS!N14</f>
        <v>-5832.9647614174246</v>
      </c>
      <c r="K10" s="364">
        <f>CFS!O14</f>
        <v>-5345.7904593470303</v>
      </c>
    </row>
    <row r="11" spans="1:11" x14ac:dyDescent="0.25">
      <c r="D11" s="38"/>
      <c r="E11" s="42"/>
      <c r="F11" s="38"/>
      <c r="G11" s="38"/>
      <c r="H11" s="38"/>
      <c r="I11" s="38"/>
      <c r="J11" s="38"/>
      <c r="K11" s="38"/>
    </row>
    <row r="12" spans="1:11" x14ac:dyDescent="0.25">
      <c r="A12" s="3" t="s">
        <v>124</v>
      </c>
      <c r="D12" s="366">
        <f t="shared" ref="D12:K12" si="0">SUM(D7:D10)</f>
        <v>-14352.54850037229</v>
      </c>
      <c r="E12" s="367">
        <f t="shared" si="0"/>
        <v>-12262.68046692399</v>
      </c>
      <c r="F12" s="366">
        <f t="shared" si="0"/>
        <v>-8968.1377605026537</v>
      </c>
      <c r="G12" s="366">
        <f t="shared" si="0"/>
        <v>-6471.044758370339</v>
      </c>
      <c r="H12" s="366">
        <f t="shared" si="0"/>
        <v>1152.1601833396708</v>
      </c>
      <c r="I12" s="366">
        <f t="shared" si="0"/>
        <v>8984.0217076011613</v>
      </c>
      <c r="J12" s="366">
        <f t="shared" si="0"/>
        <v>17294.132633594567</v>
      </c>
      <c r="K12" s="366">
        <f t="shared" si="0"/>
        <v>23185.991162634455</v>
      </c>
    </row>
    <row r="13" spans="1:11" x14ac:dyDescent="0.25">
      <c r="A13" s="3"/>
      <c r="D13" s="39"/>
      <c r="E13" s="43"/>
      <c r="F13" s="39"/>
      <c r="G13" s="39"/>
      <c r="H13" s="39"/>
      <c r="I13" s="39"/>
      <c r="J13" s="39"/>
      <c r="K13" s="39"/>
    </row>
    <row r="14" spans="1:11" x14ac:dyDescent="0.25">
      <c r="A14" t="s">
        <v>125</v>
      </c>
      <c r="D14" s="9">
        <v>1</v>
      </c>
      <c r="E14" s="368">
        <v>2</v>
      </c>
      <c r="F14" s="9">
        <v>3</v>
      </c>
      <c r="G14" s="9">
        <v>4</v>
      </c>
      <c r="H14" s="9">
        <v>5</v>
      </c>
      <c r="I14" s="9">
        <v>6</v>
      </c>
      <c r="J14" s="9">
        <v>7</v>
      </c>
      <c r="K14" s="9">
        <v>8</v>
      </c>
    </row>
    <row r="15" spans="1:11" x14ac:dyDescent="0.25">
      <c r="A15" t="s">
        <v>126</v>
      </c>
      <c r="D15" s="369">
        <f t="shared" ref="D15:K15" si="1">1/(1+$B$3)^D14</f>
        <v>0.87173510486737205</v>
      </c>
      <c r="E15" s="370">
        <f t="shared" si="1"/>
        <v>0.75992209305812808</v>
      </c>
      <c r="F15" s="369">
        <f t="shared" si="1"/>
        <v>0.66245076548306014</v>
      </c>
      <c r="G15" s="369">
        <f t="shared" si="1"/>
        <v>0.5774815875178464</v>
      </c>
      <c r="H15" s="369">
        <f t="shared" si="1"/>
        <v>0.50341097225384623</v>
      </c>
      <c r="I15" s="369">
        <f t="shared" si="1"/>
        <v>0.43884101668909237</v>
      </c>
      <c r="J15" s="369">
        <f t="shared" si="1"/>
        <v>0.38255311970357009</v>
      </c>
      <c r="K15" s="369">
        <f t="shared" si="1"/>
        <v>0.33348498392213205</v>
      </c>
    </row>
    <row r="16" spans="1:11" x14ac:dyDescent="0.25">
      <c r="A16" t="s">
        <v>127</v>
      </c>
      <c r="D16" s="371">
        <f t="shared" ref="D16:K16" si="2">D12*D15</f>
        <v>-12511.620372086081</v>
      </c>
      <c r="E16" s="372">
        <f t="shared" si="2"/>
        <v>-9318.6818069279016</v>
      </c>
      <c r="F16" s="371">
        <f t="shared" si="2"/>
        <v>-5940.9497244025197</v>
      </c>
      <c r="G16" s="371">
        <f t="shared" si="2"/>
        <v>-3736.9091999627422</v>
      </c>
      <c r="H16" s="371">
        <f t="shared" si="2"/>
        <v>580.01007808719339</v>
      </c>
      <c r="I16" s="371">
        <f t="shared" si="2"/>
        <v>3942.5572201205691</v>
      </c>
      <c r="J16" s="371">
        <f t="shared" si="2"/>
        <v>6615.9243915489205</v>
      </c>
      <c r="K16" s="371">
        <f t="shared" si="2"/>
        <v>7732.1798900898466</v>
      </c>
    </row>
    <row r="18" spans="1:3" x14ac:dyDescent="0.25">
      <c r="A18" s="8" t="s">
        <v>128</v>
      </c>
    </row>
    <row r="19" spans="1:3" x14ac:dyDescent="0.25">
      <c r="A19" t="s">
        <v>129</v>
      </c>
      <c r="B19" s="371">
        <f>K12*(1+B4)</f>
        <v>24345.290720766177</v>
      </c>
    </row>
    <row r="20" spans="1:3" x14ac:dyDescent="0.25">
      <c r="A20" t="s">
        <v>130</v>
      </c>
      <c r="B20" s="371">
        <f>B19/(B3-B4)</f>
        <v>250627.1935974074</v>
      </c>
    </row>
    <row r="21" spans="1:3" x14ac:dyDescent="0.25">
      <c r="A21" t="s">
        <v>131</v>
      </c>
      <c r="B21" s="366">
        <f>B20*K15</f>
        <v>83580.405627280488</v>
      </c>
    </row>
    <row r="23" spans="1:3" x14ac:dyDescent="0.25">
      <c r="A23" s="8" t="s">
        <v>132</v>
      </c>
    </row>
    <row r="24" spans="1:3" x14ac:dyDescent="0.25">
      <c r="A24" t="s">
        <v>133</v>
      </c>
      <c r="B24" s="371">
        <f>SUM(D16:K16)</f>
        <v>-12637.489523532713</v>
      </c>
    </row>
    <row r="25" spans="1:3" x14ac:dyDescent="0.25">
      <c r="A25" t="s">
        <v>131</v>
      </c>
      <c r="B25" s="371">
        <f>B21</f>
        <v>83580.405627280488</v>
      </c>
    </row>
    <row r="26" spans="1:3" ht="15.75" x14ac:dyDescent="0.25">
      <c r="A26" s="195" t="s">
        <v>134</v>
      </c>
      <c r="B26" s="366">
        <f>B24+B25</f>
        <v>70942.916103747775</v>
      </c>
    </row>
    <row r="27" spans="1:3" ht="29.45" customHeight="1" x14ac:dyDescent="0.25">
      <c r="A27" t="s">
        <v>135</v>
      </c>
      <c r="B27" s="364">
        <f>Assumptions!B143</f>
        <v>17972</v>
      </c>
      <c r="C27" s="23"/>
    </row>
    <row r="28" spans="1:3" ht="21.6" customHeight="1" x14ac:dyDescent="0.25">
      <c r="A28" t="s">
        <v>978</v>
      </c>
      <c r="B28" s="45">
        <v>0</v>
      </c>
      <c r="C28" s="23"/>
    </row>
    <row r="29" spans="1:3" x14ac:dyDescent="0.25">
      <c r="A29" t="s">
        <v>136</v>
      </c>
      <c r="B29" s="366">
        <f>B26+B27+B28</f>
        <v>88914.916103747775</v>
      </c>
    </row>
    <row r="30" spans="1:3" x14ac:dyDescent="0.25">
      <c r="A30" t="s">
        <v>137</v>
      </c>
      <c r="B30" s="364">
        <f>Assumptions!B141</f>
        <v>919</v>
      </c>
    </row>
    <row r="31" spans="1:3" x14ac:dyDescent="0.25">
      <c r="B31" s="38"/>
    </row>
    <row r="32" spans="1:3" x14ac:dyDescent="0.25">
      <c r="A32" s="3" t="s">
        <v>138</v>
      </c>
      <c r="B32" s="373">
        <f>B29/B30</f>
        <v>96.751812952935552</v>
      </c>
    </row>
    <row r="33" spans="1:3" x14ac:dyDescent="0.25">
      <c r="A33" t="s">
        <v>69</v>
      </c>
      <c r="B33" s="136">
        <f>Assumptions!B142</f>
        <v>281</v>
      </c>
    </row>
    <row r="34" spans="1:3" x14ac:dyDescent="0.25">
      <c r="A34" t="s">
        <v>20</v>
      </c>
      <c r="B34" s="374">
        <f>B32/B33-1</f>
        <v>-0.65568749838812979</v>
      </c>
    </row>
    <row r="35" spans="1:3" x14ac:dyDescent="0.25">
      <c r="A35" t="s">
        <v>1541</v>
      </c>
      <c r="B35" s="193">
        <f>B29/Assumptions!B155</f>
        <v>92.139809433935525</v>
      </c>
      <c r="C35" s="375" t="str">
        <f>"vs "&amp;TEXT(B32,"0.00")&amp;" at "&amp;TEXT(B30,"0")&amp;" cr shares: "&amp;TEXT(B35/B32-1,"0.0%")</f>
        <v>vs 96.75 at 919 cr shares: -4.8%</v>
      </c>
    </row>
    <row r="36" spans="1:3" x14ac:dyDescent="0.25">
      <c r="A36" s="8" t="s">
        <v>139</v>
      </c>
    </row>
    <row r="37" spans="1:3" ht="57.95" customHeight="1" x14ac:dyDescent="0.25">
      <c r="A37" t="s">
        <v>140</v>
      </c>
      <c r="B37" s="259">
        <f>B25/B26</f>
        <v>1.1781360312994675</v>
      </c>
      <c r="C37" s="128" t="s">
        <v>141</v>
      </c>
    </row>
    <row r="38" spans="1:3" x14ac:dyDescent="0.25">
      <c r="A38" t="s">
        <v>979</v>
      </c>
      <c r="B38" s="340">
        <f>B26/D7</f>
        <v>-10.623153435354979</v>
      </c>
    </row>
    <row r="39" spans="1:3" x14ac:dyDescent="0.25">
      <c r="A39" t="s">
        <v>980</v>
      </c>
      <c r="B39" s="340">
        <f>B26/G7</f>
        <v>38.186869854771253</v>
      </c>
    </row>
    <row r="40" spans="1:3" x14ac:dyDescent="0.25">
      <c r="B40" s="30"/>
    </row>
    <row r="41" spans="1:3" x14ac:dyDescent="0.25">
      <c r="A41" t="s">
        <v>142</v>
      </c>
      <c r="B41" s="64">
        <f>Assumptions!B142*Assumptions!B141-Assumptions!B143</f>
        <v>240267</v>
      </c>
    </row>
    <row r="42" spans="1:3" x14ac:dyDescent="0.25">
      <c r="A42" t="s">
        <v>981</v>
      </c>
      <c r="B42" s="340">
        <f>B41/G7</f>
        <v>129.32996221890048</v>
      </c>
    </row>
    <row r="44" spans="1:3" x14ac:dyDescent="0.25">
      <c r="A44" s="3" t="s">
        <v>1007</v>
      </c>
    </row>
    <row r="45" spans="1:3" x14ac:dyDescent="0.25">
      <c r="A45" t="s">
        <v>1008</v>
      </c>
      <c r="B45" s="335">
        <f>Ratios!O29</f>
        <v>31477.456757679724</v>
      </c>
    </row>
    <row r="46" spans="1:3" x14ac:dyDescent="0.25">
      <c r="A46" t="s">
        <v>1009</v>
      </c>
      <c r="B46" s="314">
        <f>Ratios!O32</f>
        <v>0.42519924215209226</v>
      </c>
    </row>
    <row r="47" spans="1:3" x14ac:dyDescent="0.25">
      <c r="A47" t="s">
        <v>1010</v>
      </c>
      <c r="B47" s="189">
        <f>Assumptions!B158</f>
        <v>0.16</v>
      </c>
    </row>
    <row r="48" spans="1:3" x14ac:dyDescent="0.25">
      <c r="B48" s="33"/>
    </row>
    <row r="49" spans="1:3" x14ac:dyDescent="0.25">
      <c r="A49" t="s">
        <v>1011</v>
      </c>
      <c r="B49" s="259">
        <f>B4/B47</f>
        <v>0.3125</v>
      </c>
    </row>
    <row r="50" spans="1:3" x14ac:dyDescent="0.25">
      <c r="A50" t="s">
        <v>1012</v>
      </c>
      <c r="B50" s="151">
        <f>B45*(1+B4)*(1-B49)</f>
        <v>22722.789096950048</v>
      </c>
    </row>
    <row r="51" spans="1:3" x14ac:dyDescent="0.25">
      <c r="A51" t="s">
        <v>1013</v>
      </c>
      <c r="B51" s="151">
        <f>B50/(B3-B4)</f>
        <v>233924.04417732623</v>
      </c>
    </row>
    <row r="52" spans="1:3" x14ac:dyDescent="0.25">
      <c r="A52" t="s">
        <v>1014</v>
      </c>
      <c r="B52" s="151">
        <f>B51*K15</f>
        <v>78010.15611147575</v>
      </c>
    </row>
    <row r="53" spans="1:3" x14ac:dyDescent="0.25">
      <c r="B53" s="65"/>
    </row>
    <row r="54" spans="1:3" x14ac:dyDescent="0.25">
      <c r="A54" t="s">
        <v>1015</v>
      </c>
      <c r="B54" s="95">
        <f>B20/(IS!O39*(1+B4))</f>
        <v>5.5402439563865604</v>
      </c>
    </row>
    <row r="55" spans="1:3" x14ac:dyDescent="0.25">
      <c r="A55" t="s">
        <v>1016</v>
      </c>
      <c r="B55" s="95">
        <f>B51/(IS!O39*(1+B4))</f>
        <v>5.1710121850893227</v>
      </c>
    </row>
    <row r="56" spans="1:3" ht="26.1" customHeight="1" x14ac:dyDescent="0.25">
      <c r="A56" t="s">
        <v>1017</v>
      </c>
      <c r="B56" s="95">
        <f>SOTP!D9/IS!K48</f>
        <v>20.65528982991637</v>
      </c>
      <c r="C56" s="233" t="s">
        <v>1414</v>
      </c>
    </row>
    <row r="57" spans="1:3" x14ac:dyDescent="0.25">
      <c r="A57" s="3"/>
    </row>
    <row r="58" spans="1:3" x14ac:dyDescent="0.25">
      <c r="B58" s="123"/>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5F022-0A22-4391-88AE-9259E469486C}">
  <dimension ref="A1:G76"/>
  <sheetViews>
    <sheetView zoomScale="70" zoomScaleNormal="70" workbookViewId="0">
      <selection activeCell="D4" sqref="D4"/>
    </sheetView>
  </sheetViews>
  <sheetFormatPr defaultRowHeight="15" x14ac:dyDescent="0.25"/>
  <cols>
    <col min="1" max="1" width="49.5703125" customWidth="1"/>
    <col min="2" max="2" width="27.5703125" customWidth="1"/>
    <col min="3" max="3" width="12.5703125" bestFit="1" customWidth="1"/>
    <col min="4" max="4" width="14.42578125" bestFit="1" customWidth="1"/>
    <col min="6" max="6" width="69.140625" style="21" customWidth="1"/>
    <col min="7" max="7" width="47.28515625" customWidth="1"/>
  </cols>
  <sheetData>
    <row r="1" spans="1:7" ht="18.75" x14ac:dyDescent="0.3">
      <c r="A1" s="5" t="s">
        <v>1494</v>
      </c>
      <c r="G1" s="137" t="str">
        <f>Data_Sources!$D$26&amp;" | "&amp;Data_Sources!$E$26&amp;" | "&amp;Data_Sources!$F$26</f>
        <v>Analyst estimate — not sourced from company disclosure | Judgement; sensitivity tested on the Sensitivity tab | n/a</v>
      </c>
    </row>
    <row r="3" spans="1:7" x14ac:dyDescent="0.25">
      <c r="A3" s="4" t="s">
        <v>143</v>
      </c>
      <c r="B3" s="4" t="s">
        <v>1444</v>
      </c>
      <c r="C3" s="4" t="s">
        <v>1481</v>
      </c>
      <c r="D3" s="4" t="s">
        <v>134</v>
      </c>
      <c r="E3" s="4" t="s">
        <v>144</v>
      </c>
      <c r="F3" s="44" t="s">
        <v>145</v>
      </c>
    </row>
    <row r="4" spans="1:7" x14ac:dyDescent="0.25">
      <c r="A4" t="s">
        <v>90</v>
      </c>
      <c r="B4" s="190">
        <f>'Revenue Schedule'!J42</f>
        <v>74745.919999999998</v>
      </c>
      <c r="C4" s="205">
        <f>Assumptions!B148</f>
        <v>0.84336586734805086</v>
      </c>
      <c r="D4" s="371">
        <f>B4*C4*$D$24</f>
        <v>63038.157651528018</v>
      </c>
      <c r="E4" s="259">
        <f t="shared" ref="E4:E9" si="0">D4/$D$9</f>
        <v>0.17438095729883188</v>
      </c>
      <c r="F4" s="23" t="s">
        <v>146</v>
      </c>
    </row>
    <row r="5" spans="1:7" x14ac:dyDescent="0.25">
      <c r="A5" t="s">
        <v>91</v>
      </c>
      <c r="B5" s="190">
        <f>'Revenue Schedule'!J56</f>
        <v>310465.34999999998</v>
      </c>
      <c r="C5" s="205">
        <f>Assumptions!B149</f>
        <v>0.84336586734805086</v>
      </c>
      <c r="D5" s="371">
        <f>B5*C5*$D$24</f>
        <v>261835.87918426617</v>
      </c>
      <c r="E5" s="259">
        <f t="shared" si="0"/>
        <v>0.72431036959765682</v>
      </c>
      <c r="F5" s="23" t="s">
        <v>147</v>
      </c>
    </row>
    <row r="6" spans="1:7" x14ac:dyDescent="0.25">
      <c r="A6" t="s">
        <v>92</v>
      </c>
      <c r="B6" s="190">
        <f>'Revenue Schedule'!J72</f>
        <v>30709.014335999997</v>
      </c>
      <c r="C6" s="205">
        <f>Assumptions!B150</f>
        <v>0.84336586734805086</v>
      </c>
      <c r="D6" s="371">
        <f>B6*C6*$D$24</f>
        <v>25898.934510884366</v>
      </c>
      <c r="E6" s="259">
        <f t="shared" si="0"/>
        <v>7.1643607003769996E-2</v>
      </c>
      <c r="F6" s="23" t="s">
        <v>148</v>
      </c>
    </row>
    <row r="7" spans="1:7" x14ac:dyDescent="0.25">
      <c r="A7" t="s">
        <v>93</v>
      </c>
      <c r="B7" s="190">
        <f>'Revenue Schedule'!J80</f>
        <v>14298.435199999994</v>
      </c>
      <c r="C7" s="205">
        <f>Assumptions!B151</f>
        <v>0.75</v>
      </c>
      <c r="D7" s="371">
        <f>B7*C7*$D$24</f>
        <v>10723.826399999996</v>
      </c>
      <c r="E7" s="259">
        <f t="shared" si="0"/>
        <v>2.9665066099741202E-2</v>
      </c>
      <c r="F7" s="23" t="s">
        <v>149</v>
      </c>
    </row>
    <row r="8" spans="1:7" x14ac:dyDescent="0.25">
      <c r="A8" t="s">
        <v>94</v>
      </c>
      <c r="B8" s="190">
        <f>IS!K47</f>
        <v>-100</v>
      </c>
      <c r="C8" s="95">
        <f>Assumptions!B152</f>
        <v>0</v>
      </c>
      <c r="D8" s="371">
        <f>B8*C8*$D$24</f>
        <v>0</v>
      </c>
      <c r="E8" s="259">
        <f t="shared" si="0"/>
        <v>0</v>
      </c>
      <c r="F8" s="23" t="s">
        <v>1495</v>
      </c>
    </row>
    <row r="9" spans="1:7" x14ac:dyDescent="0.25">
      <c r="A9" s="3" t="s">
        <v>150</v>
      </c>
      <c r="D9" s="366">
        <f>SUM(D4:D8)</f>
        <v>361496.79774667858</v>
      </c>
      <c r="E9" s="80">
        <f t="shared" si="0"/>
        <v>1</v>
      </c>
    </row>
    <row r="11" spans="1:7" x14ac:dyDescent="0.25">
      <c r="A11" t="s">
        <v>1000</v>
      </c>
      <c r="D11" s="268">
        <f>Assumptions!B153</f>
        <v>4</v>
      </c>
      <c r="F11"/>
    </row>
    <row r="12" spans="1:7" x14ac:dyDescent="0.25">
      <c r="A12" t="s">
        <v>1001</v>
      </c>
      <c r="D12" s="189">
        <f>DCF!$B$3</f>
        <v>0.14713746689384793</v>
      </c>
      <c r="F12"/>
    </row>
    <row r="13" spans="1:7" x14ac:dyDescent="0.25">
      <c r="A13" t="s">
        <v>1002</v>
      </c>
      <c r="D13" s="151">
        <f>D9/(1+D12)^D11</f>
        <v>208757.74464536976</v>
      </c>
      <c r="F13"/>
    </row>
    <row r="14" spans="1:7" x14ac:dyDescent="0.25">
      <c r="A14" t="s">
        <v>1003</v>
      </c>
      <c r="D14" s="190">
        <f>Assumptions!B143</f>
        <v>17972</v>
      </c>
      <c r="F14"/>
    </row>
    <row r="15" spans="1:7" x14ac:dyDescent="0.25">
      <c r="A15" t="s">
        <v>1004</v>
      </c>
      <c r="D15" s="151">
        <f>D13+D14</f>
        <v>226729.74464536976</v>
      </c>
    </row>
    <row r="16" spans="1:7" x14ac:dyDescent="0.25">
      <c r="A16" t="s">
        <v>1005</v>
      </c>
      <c r="D16" s="191">
        <f>'Share Count &amp; Dilution'!K9</f>
        <v>949.04015642562058</v>
      </c>
    </row>
    <row r="17" spans="1:6" x14ac:dyDescent="0.25">
      <c r="A17" s="3" t="s">
        <v>1006</v>
      </c>
      <c r="D17" s="376">
        <f>D15/D16</f>
        <v>238.90426881334955</v>
      </c>
    </row>
    <row r="18" spans="1:6" x14ac:dyDescent="0.25">
      <c r="A18" t="s">
        <v>69</v>
      </c>
      <c r="D18" s="193">
        <f>Assumptions!B142</f>
        <v>281</v>
      </c>
    </row>
    <row r="19" spans="1:6" x14ac:dyDescent="0.25">
      <c r="A19" s="3" t="s">
        <v>151</v>
      </c>
      <c r="D19" s="377">
        <f>D17/D18-1</f>
        <v>-0.14980687255035752</v>
      </c>
    </row>
    <row r="20" spans="1:6" x14ac:dyDescent="0.25">
      <c r="F20"/>
    </row>
    <row r="21" spans="1:6" x14ac:dyDescent="0.25">
      <c r="A21" s="3" t="s">
        <v>1496</v>
      </c>
      <c r="F21"/>
    </row>
    <row r="22" spans="1:6" x14ac:dyDescent="0.25">
      <c r="A22" t="s">
        <v>1417</v>
      </c>
      <c r="D22" s="190">
        <f>DCF!B26*(1+D12)^D11</f>
        <v>122848.7931687612</v>
      </c>
      <c r="F22"/>
    </row>
    <row r="23" spans="1:6" x14ac:dyDescent="0.25">
      <c r="A23" s="3" t="s">
        <v>1416</v>
      </c>
      <c r="D23" s="151">
        <f>SUMPRODUCT(B4:B8,C4:C8)</f>
        <v>361496.79774667858</v>
      </c>
      <c r="F23"/>
    </row>
    <row r="24" spans="1:6" x14ac:dyDescent="0.25">
      <c r="A24" t="s">
        <v>1497</v>
      </c>
      <c r="D24" s="269">
        <v>1</v>
      </c>
      <c r="F24"/>
    </row>
    <row r="25" spans="1:6" x14ac:dyDescent="0.25">
      <c r="A25" s="3" t="s">
        <v>1498</v>
      </c>
      <c r="D25" s="378">
        <f>D17-DCF!B32</f>
        <v>142.15245586041399</v>
      </c>
      <c r="F25"/>
    </row>
    <row r="26" spans="1:6" x14ac:dyDescent="0.25">
      <c r="A26" t="s">
        <v>1499</v>
      </c>
      <c r="D26" s="189">
        <f>D17/DCF!B32-1</f>
        <v>1.4692484980055451</v>
      </c>
    </row>
    <row r="27" spans="1:6" x14ac:dyDescent="0.25">
      <c r="A27" s="8" t="s">
        <v>152</v>
      </c>
    </row>
    <row r="28" spans="1:6" x14ac:dyDescent="0.25">
      <c r="A28" t="s">
        <v>153</v>
      </c>
      <c r="D28" s="64">
        <f>'Revenue Schedule'!J56</f>
        <v>310465.34999999998</v>
      </c>
    </row>
    <row r="29" spans="1:6" x14ac:dyDescent="0.25">
      <c r="A29" t="s">
        <v>154</v>
      </c>
      <c r="D29" s="379">
        <f>D5/D28</f>
        <v>0.84336586734805086</v>
      </c>
    </row>
    <row r="31" spans="1:6" x14ac:dyDescent="0.25">
      <c r="A31" s="8" t="s">
        <v>1327</v>
      </c>
    </row>
    <row r="33" spans="1:4" x14ac:dyDescent="0.25">
      <c r="A33" s="3" t="s">
        <v>1328</v>
      </c>
    </row>
    <row r="34" spans="1:4" x14ac:dyDescent="0.25">
      <c r="A34" t="s">
        <v>1329</v>
      </c>
      <c r="D34" s="190">
        <f>DCF!B26</f>
        <v>70942.916103747775</v>
      </c>
    </row>
    <row r="35" spans="1:4" x14ac:dyDescent="0.25">
      <c r="A35" t="s">
        <v>1330</v>
      </c>
      <c r="D35" s="190">
        <f>SUM(DCF!D16:G16)</f>
        <v>-31508.161103379243</v>
      </c>
    </row>
    <row r="36" spans="1:4" x14ac:dyDescent="0.25">
      <c r="A36" t="s">
        <v>1331</v>
      </c>
      <c r="D36" s="151">
        <f>D34-D35</f>
        <v>102451.07720712702</v>
      </c>
    </row>
    <row r="37" spans="1:4" x14ac:dyDescent="0.25">
      <c r="A37" t="s">
        <v>1332</v>
      </c>
      <c r="D37" s="220">
        <f>DCF!G15</f>
        <v>0.5774815875178464</v>
      </c>
    </row>
    <row r="38" spans="1:4" x14ac:dyDescent="0.25">
      <c r="A38" t="s">
        <v>1333</v>
      </c>
      <c r="D38" s="168">
        <f>D36/D37</f>
        <v>177410.11907840418</v>
      </c>
    </row>
    <row r="39" spans="1:4" x14ac:dyDescent="0.25">
      <c r="A39" t="s">
        <v>1334</v>
      </c>
      <c r="D39" s="168">
        <f>D9</f>
        <v>361496.79774667858</v>
      </c>
    </row>
    <row r="40" spans="1:4" x14ac:dyDescent="0.25">
      <c r="A40" s="3" t="s">
        <v>1335</v>
      </c>
      <c r="D40" s="168">
        <f>D39-D38</f>
        <v>184086.6786682744</v>
      </c>
    </row>
    <row r="42" spans="1:4" x14ac:dyDescent="0.25">
      <c r="A42" s="3" t="s">
        <v>1336</v>
      </c>
    </row>
    <row r="43" spans="1:4" x14ac:dyDescent="0.25">
      <c r="A43" t="s">
        <v>1337</v>
      </c>
      <c r="D43" s="190">
        <f>IS!K48</f>
        <v>17501.4149268</v>
      </c>
    </row>
    <row r="44" spans="1:4" x14ac:dyDescent="0.25">
      <c r="A44" s="3" t="s">
        <v>1338</v>
      </c>
      <c r="D44" s="380">
        <f>D38/D43</f>
        <v>10.136901491703693</v>
      </c>
    </row>
    <row r="45" spans="1:4" x14ac:dyDescent="0.25">
      <c r="A45" t="s">
        <v>1339</v>
      </c>
      <c r="D45" s="380">
        <f>D39/D43</f>
        <v>20.65528982991637</v>
      </c>
    </row>
    <row r="46" spans="1:4" x14ac:dyDescent="0.25">
      <c r="A46" s="3" t="s">
        <v>1340</v>
      </c>
      <c r="D46" s="380">
        <f>D45-D44</f>
        <v>10.518388338212677</v>
      </c>
    </row>
    <row r="48" spans="1:4" x14ac:dyDescent="0.25">
      <c r="A48" s="3" t="s">
        <v>1341</v>
      </c>
    </row>
    <row r="49" spans="1:4" x14ac:dyDescent="0.25">
      <c r="A49" t="s">
        <v>1329</v>
      </c>
      <c r="D49" s="151">
        <f>D34</f>
        <v>70942.916103747775</v>
      </c>
    </row>
    <row r="50" spans="1:4" x14ac:dyDescent="0.25">
      <c r="A50" s="3" t="s">
        <v>1342</v>
      </c>
      <c r="D50" s="151">
        <f>-D35</f>
        <v>31508.161103379243</v>
      </c>
    </row>
    <row r="51" spans="1:4" x14ac:dyDescent="0.25">
      <c r="A51" t="s">
        <v>1343</v>
      </c>
      <c r="D51" s="151">
        <f>D46*D43*D37</f>
        <v>106306.66743824277</v>
      </c>
    </row>
    <row r="52" spans="1:4" x14ac:dyDescent="0.25">
      <c r="A52" s="381" t="s">
        <v>1344</v>
      </c>
      <c r="D52" s="168">
        <f>SUM(D49:D51)</f>
        <v>208757.74464536979</v>
      </c>
    </row>
    <row r="53" spans="1:4" x14ac:dyDescent="0.25">
      <c r="A53" t="s">
        <v>1345</v>
      </c>
      <c r="D53" s="151">
        <f>D52-D13</f>
        <v>0</v>
      </c>
    </row>
    <row r="55" spans="1:4" x14ac:dyDescent="0.25">
      <c r="A55" s="3" t="s">
        <v>1346</v>
      </c>
    </row>
    <row r="56" spans="1:4" x14ac:dyDescent="0.25">
      <c r="A56" t="s">
        <v>1347</v>
      </c>
    </row>
    <row r="57" spans="1:4" x14ac:dyDescent="0.25">
      <c r="A57" t="s">
        <v>1348</v>
      </c>
      <c r="D57" s="190">
        <f>(D13-DCF!B24)/DCF!K15</f>
        <v>663883.66745951516</v>
      </c>
    </row>
    <row r="58" spans="1:4" x14ac:dyDescent="0.25">
      <c r="A58" t="s">
        <v>1349</v>
      </c>
      <c r="D58" s="314">
        <f>(D57*DCF!$B$3-DCF!K12)/(D57+DCF!K12)</f>
        <v>0.10842593475740293</v>
      </c>
    </row>
    <row r="59" spans="1:4" x14ac:dyDescent="0.25">
      <c r="A59" t="s">
        <v>1350</v>
      </c>
      <c r="D59" s="189">
        <f>Assumptions!$B$134</f>
        <v>6.8000000000000005E-2</v>
      </c>
    </row>
    <row r="61" spans="1:4" x14ac:dyDescent="0.25">
      <c r="A61" t="s">
        <v>1351</v>
      </c>
    </row>
    <row r="62" spans="1:4" x14ac:dyDescent="0.25">
      <c r="A62" t="s">
        <v>1352</v>
      </c>
      <c r="D62" s="380">
        <f>D44</f>
        <v>10.136901491703693</v>
      </c>
    </row>
    <row r="63" spans="1:4" x14ac:dyDescent="0.25">
      <c r="A63" t="s">
        <v>1353</v>
      </c>
      <c r="D63" s="380">
        <f>(D38-(D9-D5))/B5</f>
        <v>0.25042794796904638</v>
      </c>
    </row>
    <row r="64" spans="1:4" x14ac:dyDescent="0.25">
      <c r="A64" t="s">
        <v>1354</v>
      </c>
      <c r="D64" s="340">
        <f>C5</f>
        <v>0.84336586734805086</v>
      </c>
    </row>
    <row r="65" spans="1:4" x14ac:dyDescent="0.25">
      <c r="A65" t="s">
        <v>1355</v>
      </c>
      <c r="D65" s="379">
        <f>D63*B5/D28</f>
        <v>0.25042794796904638</v>
      </c>
    </row>
    <row r="67" spans="1:4" x14ac:dyDescent="0.25">
      <c r="A67" s="10" t="s">
        <v>1356</v>
      </c>
    </row>
    <row r="68" spans="1:4" x14ac:dyDescent="0.25">
      <c r="A68" s="3" t="s">
        <v>1357</v>
      </c>
      <c r="D68" s="281">
        <v>6.5000000000000002E-2</v>
      </c>
    </row>
    <row r="69" spans="1:4" x14ac:dyDescent="0.25">
      <c r="A69" t="s">
        <v>1358</v>
      </c>
      <c r="D69" s="190">
        <f>DCF!B24+DCF!K12*(1+D68)/(DCF!B3-D68)*DCF!K15</f>
        <v>87618.482499418344</v>
      </c>
    </row>
    <row r="70" spans="1:4" x14ac:dyDescent="0.25">
      <c r="A70" t="s">
        <v>1359</v>
      </c>
      <c r="D70" s="382">
        <f>(D69+D14)/DCF!B30</f>
        <v>114.8971517947969</v>
      </c>
    </row>
    <row r="71" spans="1:4" x14ac:dyDescent="0.25">
      <c r="A71" t="s">
        <v>1360</v>
      </c>
      <c r="D71" s="340">
        <f>(D69-D35)/D37/D43</f>
        <v>11.786845821030058</v>
      </c>
    </row>
    <row r="72" spans="1:4" x14ac:dyDescent="0.25">
      <c r="A72" t="s">
        <v>1361</v>
      </c>
      <c r="D72" s="340">
        <f>((D69-D35)/D37-(D9-D5))/B5</f>
        <v>0.34343787746250354</v>
      </c>
    </row>
    <row r="73" spans="1:4" x14ac:dyDescent="0.25">
      <c r="A73" t="s">
        <v>1362</v>
      </c>
      <c r="D73" s="376">
        <f>(D69-D35+D14)/D16</f>
        <v>144.46031885431864</v>
      </c>
    </row>
    <row r="74" spans="1:4" x14ac:dyDescent="0.25">
      <c r="A74" s="3" t="s">
        <v>1363</v>
      </c>
      <c r="D74" s="383">
        <f>D73/D70-1</f>
        <v>0.25730113060000592</v>
      </c>
    </row>
    <row r="76" spans="1:4" x14ac:dyDescent="0.25">
      <c r="A76" s="54" t="str">
        <f>"CONCLUSION: SOTP "&amp;TEXT(D17,"0.00")&amp;" vs DCF "&amp;TEXT(DCF!B32,"0.00")&amp;" per share (gap "&amp;TEXT(D26,"0%")&amp;"). On a FY2030E basis the DCF implies "&amp;TEXT(D44,"0.0")&amp;"x Adjusted EBITDA and the SOTP "&amp;TEXT(D45,"0.0")&amp;"x ("&amp;TEXT(D46,"0.0")&amp;" turns). Holding SOTP multiples, the DCF would need terminal g of "&amp;TEXT(D58,"0.0%")&amp;" (Rf "&amp;TEXT(D59,"0.0%")&amp;"). The two pages are NOT forced to agree."</f>
        <v>CONCLUSION: SOTP 238.90 vs DCF 96.75 per share (gap 147%). On a FY2030E basis the DCF implies 10.1x Adjusted EBITDA and the SOTP 20.7x (10.5 turns). Holding SOTP multiples, the DCF would need terminal g of 10.8% (Rf 6.8%). The two pages are NOT forced to agree.</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855D-BFF6-48B2-B7DC-DCADD0C7CB44}">
  <dimension ref="A1:K59"/>
  <sheetViews>
    <sheetView zoomScale="80" zoomScaleNormal="80" workbookViewId="0">
      <selection activeCell="I18" sqref="I18"/>
    </sheetView>
  </sheetViews>
  <sheetFormatPr defaultRowHeight="15" x14ac:dyDescent="0.25"/>
  <cols>
    <col min="1" max="1" width="23.5703125" customWidth="1"/>
    <col min="9" max="9" width="47.28515625" customWidth="1"/>
    <col min="10" max="10" width="45.42578125" bestFit="1" customWidth="1"/>
    <col min="11" max="11" width="8.140625" bestFit="1" customWidth="1"/>
  </cols>
  <sheetData>
    <row r="1" spans="1:9" ht="17.25" x14ac:dyDescent="0.3">
      <c r="A1" s="238" t="s">
        <v>156</v>
      </c>
      <c r="I1" s="137" t="str">
        <f>Data_Sources!$D$26&amp;" | "&amp;Data_Sources!$E$26&amp;" | "&amp;Data_Sources!$F$26</f>
        <v>Analyst estimate — not sourced from company disclosure | Judgement; sensitivity tested on the Sensitivity tab | n/a</v>
      </c>
    </row>
    <row r="3" spans="1:9" x14ac:dyDescent="0.25">
      <c r="A3" s="8" t="s">
        <v>157</v>
      </c>
    </row>
    <row r="5" spans="1:9" x14ac:dyDescent="0.25">
      <c r="A5" s="4" t="s">
        <v>158</v>
      </c>
      <c r="B5" s="384">
        <v>3.5000000000000003E-2</v>
      </c>
      <c r="C5" s="384">
        <v>0.04</v>
      </c>
      <c r="D5" s="384">
        <v>4.4999999999999998E-2</v>
      </c>
      <c r="E5" s="385">
        <v>0.05</v>
      </c>
      <c r="F5" s="384">
        <v>5.5E-2</v>
      </c>
      <c r="G5" s="384">
        <v>0.06</v>
      </c>
      <c r="H5" s="384">
        <v>6.5000000000000002E-2</v>
      </c>
    </row>
    <row r="6" spans="1:9" x14ac:dyDescent="0.25">
      <c r="A6" s="386">
        <f>DCF!$B$3-0.015</f>
        <v>0.13213746689384792</v>
      </c>
      <c r="B6" s="387">
        <f>(SUMPRODUCT(DCF!$D$12:$K$12,1/(1+$A6)^DCF!$D$14:$K$14)+DCF!$K$12*(1+B$5)/($A6-B$5)/(1+$A6)^8+Assumptions!$B$143)/Assumptions!$B$141</f>
        <v>106.50073233594574</v>
      </c>
      <c r="C6" s="387">
        <f>(SUMPRODUCT(DCF!$D$12:$K$12,1/(1+$A6)^DCF!$D$14:$K$14)+DCF!$K$12*(1+C$5)/($A6-C$5)/(1+$A6)^8+Assumptions!$B$143)/Assumptions!$B$141</f>
        <v>112.41312098834082</v>
      </c>
      <c r="D6" s="387">
        <f>(SUMPRODUCT(DCF!$D$12:$K$12,1/(1+$A6)^DCF!$D$14:$K$14)+DCF!$K$12*(1+D$5)/($A6-D$5)/(1+$A6)^8+Assumptions!$B$143)/Assumptions!$B$141</f>
        <v>119.00402243932314</v>
      </c>
      <c r="E6" s="387">
        <f>(SUMPRODUCT(DCF!$D$12:$K$12,1/(1+$A6)^DCF!$D$14:$K$14)+DCF!$K$12*(1+E$5)/($A6-E$5)/(1+$A6)^8+Assumptions!$B$143)/Assumptions!$B$141</f>
        <v>126.39734715708343</v>
      </c>
      <c r="F6" s="387">
        <f>(SUMPRODUCT(DCF!$D$12:$K$12,1/(1+$A6)^DCF!$D$14:$K$14)+DCF!$K$12*(1+F$5)/($A6-F$5)/(1+$A6)^8+Assumptions!$B$143)/Assumptions!$B$141</f>
        <v>134.74913279085149</v>
      </c>
      <c r="G6" s="387">
        <f>(SUMPRODUCT(DCF!$D$12:$K$12,1/(1+$A6)^DCF!$D$14:$K$14)+DCF!$K$12*(1+G$5)/($A6-G$5)/(1+$A6)^8+Assumptions!$B$143)/Assumptions!$B$141</f>
        <v>144.25867818433753</v>
      </c>
      <c r="H6" s="387">
        <f>(SUMPRODUCT(DCF!$D$12:$K$12,1/(1+$A6)^DCF!$D$14:$K$14)+DCF!$K$12*(1+H$5)/($A6-H$5)/(1+$A6)^8+Assumptions!$B$143)/Assumptions!$B$141</f>
        <v>155.18465256054373</v>
      </c>
    </row>
    <row r="7" spans="1:9" x14ac:dyDescent="0.25">
      <c r="A7" s="386">
        <f>DCF!$B$3-0.01</f>
        <v>0.13713746689384793</v>
      </c>
      <c r="B7" s="387">
        <f>(SUMPRODUCT(DCF!$D$12:$K$12,1/(1+$A7)^DCF!$D$14:$K$14)+DCF!$K$12*(1+B$5)/($A7-B$5)/(1+$A7)^8+Assumptions!$B$143)/Assumptions!$B$141</f>
        <v>97.959337015742861</v>
      </c>
      <c r="C7" s="387">
        <f>(SUMPRODUCT(DCF!$D$12:$K$12,1/(1+$A7)^DCF!$D$14:$K$14)+DCF!$K$12*(1+C$5)/($A7-C$5)/(1+$A7)^8+Assumptions!$B$143)/Assumptions!$B$141</f>
        <v>103.1308487998546</v>
      </c>
      <c r="D7" s="387">
        <f>(SUMPRODUCT(DCF!$D$12:$K$12,1/(1+$A7)^DCF!$D$14:$K$14)+DCF!$K$12*(1+D$5)/($A7-D$5)/(1+$A7)^8+Assumptions!$B$143)/Assumptions!$B$141</f>
        <v>108.86364275922621</v>
      </c>
      <c r="E7" s="387">
        <f>(SUMPRODUCT(DCF!$D$12:$K$12,1/(1+$A7)^DCF!$D$14:$K$14)+DCF!$K$12*(1+E$5)/($A7-E$5)/(1+$A7)^8+Assumptions!$B$143)/Assumptions!$B$141</f>
        <v>115.25433901524778</v>
      </c>
      <c r="F7" s="387">
        <f>(SUMPRODUCT(DCF!$D$12:$K$12,1/(1+$A7)^DCF!$D$14:$K$14)+DCF!$K$12*(1+F$5)/($A7-F$5)/(1+$A7)^8+Assumptions!$B$143)/Assumptions!$B$141</f>
        <v>122.42308413224531</v>
      </c>
      <c r="G7" s="387">
        <f>(SUMPRODUCT(DCF!$D$12:$K$12,1/(1+$A7)^DCF!$D$14:$K$14)+DCF!$K$12*(1+G$5)/($A7-G$5)/(1+$A7)^8+Assumptions!$B$143)/Assumptions!$B$141</f>
        <v>130.52117596046727</v>
      </c>
      <c r="H7" s="387">
        <f>(SUMPRODUCT(DCF!$D$12:$K$12,1/(1+$A7)^DCF!$D$14:$K$14)+DCF!$K$12*(1+H$5)/($A7-H$5)/(1+$A7)^8+Assumptions!$B$143)/Assumptions!$B$141</f>
        <v>139.74185944277909</v>
      </c>
    </row>
    <row r="8" spans="1:9" ht="15.75" thickBot="1" x14ac:dyDescent="0.3">
      <c r="A8" s="386">
        <f>DCF!$B$3-0.005</f>
        <v>0.14213746689384793</v>
      </c>
      <c r="B8" s="387">
        <f>(SUMPRODUCT(DCF!$D$12:$K$12,1/(1+$A8)^DCF!$D$14:$K$14)+DCF!$K$12*(1+B$5)/($A8-B$5)/(1+$A8)^8+Assumptions!$B$143)/Assumptions!$B$141</f>
        <v>90.320702219315493</v>
      </c>
      <c r="C8" s="387">
        <f>(SUMPRODUCT(DCF!$D$12:$K$12,1/(1+$A8)^DCF!$D$14:$K$14)+DCF!$K$12*(1+C$5)/($A8-C$5)/(1+$A8)^8+Assumptions!$B$143)/Assumptions!$B$141</f>
        <v>94.867703255517924</v>
      </c>
      <c r="D8" s="387">
        <f>(SUMPRODUCT(DCF!$D$12:$K$12,1/(1+$A8)^DCF!$D$14:$K$14)+DCF!$K$12*(1+D$5)/($A8-D$5)/(1+$A8)^8+Assumptions!$B$143)/Assumptions!$B$141</f>
        <v>99.882803901644408</v>
      </c>
      <c r="E8" s="387">
        <f>(SUMPRODUCT(DCF!$D$12:$K$12,1/(1+$A8)^DCF!$D$14:$K$14)+DCF!$K$12*(1+E$5)/($A8-E$5)/(1+$A8)^8+Assumptions!$B$143)/Assumptions!$B$141</f>
        <v>105.4422108777794</v>
      </c>
      <c r="F8" s="387">
        <f>(SUMPRODUCT(DCF!$D$12:$K$12,1/(1+$A8)^DCF!$D$14:$K$14)+DCF!$K$12*(1+F$5)/($A8-F$5)/(1+$A8)^8+Assumptions!$B$143)/Assumptions!$B$141</f>
        <v>111.63962205283228</v>
      </c>
      <c r="G8" s="387">
        <f>(SUMPRODUCT(DCF!$D$12:$K$12,1/(1+$A8)^DCF!$D$14:$K$14)+DCF!$K$12*(1+G$5)/($A8-G$5)/(1+$A8)^8+Assumptions!$B$143)/Assumptions!$B$141</f>
        <v>118.59155018700478</v>
      </c>
      <c r="H8" s="387">
        <f>(SUMPRODUCT(DCF!$D$12:$K$12,1/(1+$A8)^DCF!$D$14:$K$14)+DCF!$K$12*(1+H$5)/($A8-H$5)/(1+$A8)^8+Assumptions!$B$143)/Assumptions!$B$141</f>
        <v>126.44471716322262</v>
      </c>
    </row>
    <row r="9" spans="1:9" ht="16.5" thickTop="1" thickBot="1" x14ac:dyDescent="0.3">
      <c r="A9" s="388">
        <f>DCF!$B$3</f>
        <v>0.14713746689384793</v>
      </c>
      <c r="B9" s="387">
        <f>(SUMPRODUCT(DCF!$D$12:$K$12,1/(1+$A9)^DCF!$D$14:$K$14)+DCF!$K$12*(1+B$5)/($A9-B$5)/(1+$A9)^8+Assumptions!$B$143)/Assumptions!$B$141</f>
        <v>83.460874520984873</v>
      </c>
      <c r="C9" s="387">
        <f>(SUMPRODUCT(DCF!$D$12:$K$12,1/(1+$A9)^DCF!$D$14:$K$14)+DCF!$K$12*(1+C$5)/($A9-C$5)/(1+$A9)^8+Assumptions!$B$143)/Assumptions!$B$141</f>
        <v>87.477670665701638</v>
      </c>
      <c r="D9" s="387">
        <f>(SUMPRODUCT(DCF!$D$12:$K$12,1/(1+$A9)^DCF!$D$14:$K$14)+DCF!$K$12*(1+D$5)/($A9-D$5)/(1+$A9)^8+Assumptions!$B$143)/Assumptions!$B$141</f>
        <v>91.887740333531227</v>
      </c>
      <c r="E9" s="389">
        <f>(SUMPRODUCT(DCF!$D$12:$K$12,1/(1+$A9)^DCF!$D$14:$K$14)+DCF!$K$12*(1+E$5)/($A9-E$5)/(1+$A9)^8+Assumptions!$B$143)/Assumptions!$B$141</f>
        <v>96.751812952935538</v>
      </c>
      <c r="F9" s="387">
        <f>(SUMPRODUCT(DCF!$D$12:$K$12,1/(1+$A9)^DCF!$D$14:$K$14)+DCF!$K$12*(1+F$5)/($A9-F$5)/(1+$A9)^8+Assumptions!$B$143)/Assumptions!$B$141</f>
        <v>102.14380030490007</v>
      </c>
      <c r="G9" s="387">
        <f>(SUMPRODUCT(DCF!$D$12:$K$12,1/(1+$A9)^DCF!$D$14:$K$14)+DCF!$K$12*(1+G$5)/($A9-G$5)/(1+$A9)^8+Assumptions!$B$143)/Assumptions!$B$141</f>
        <v>108.15457857931973</v>
      </c>
      <c r="H9" s="387">
        <f>(SUMPRODUCT(DCF!$D$12:$K$12,1/(1+$A9)^DCF!$D$14:$K$14)+DCF!$K$12*(1+H$5)/($A9-H$5)/(1+$A9)^8+Assumptions!$B$143)/Assumptions!$B$141</f>
        <v>114.89715179479687</v>
      </c>
    </row>
    <row r="10" spans="1:9" ht="15.75" thickTop="1" x14ac:dyDescent="0.25">
      <c r="A10" s="386">
        <f>DCF!$B$3+0.005</f>
        <v>0.15213746689384794</v>
      </c>
      <c r="B10" s="387">
        <f>(SUMPRODUCT(DCF!$D$12:$K$12,1/(1+$A10)^DCF!$D$14:$K$14)+DCF!$K$12*(1+B$5)/($A10-B$5)/(1+$A10)^8+Assumptions!$B$143)/Assumptions!$B$141</f>
        <v>77.277177179856892</v>
      </c>
      <c r="C10" s="387">
        <f>(SUMPRODUCT(DCF!$D$12:$K$12,1/(1+$A10)^DCF!$D$14:$K$14)+DCF!$K$12*(1+C$5)/($A10-C$5)/(1+$A10)^8+Assumptions!$B$143)/Assumptions!$B$141</f>
        <v>80.840896489067177</v>
      </c>
      <c r="D10" s="387">
        <f>(SUMPRODUCT(DCF!$D$12:$K$12,1/(1+$A10)^DCF!$D$14:$K$14)+DCF!$K$12*(1+D$5)/($A10-D$5)/(1+$A10)^8+Assumptions!$B$143)/Assumptions!$B$141</f>
        <v>84.73724633477697</v>
      </c>
      <c r="E10" s="387">
        <f>(SUMPRODUCT(DCF!$D$12:$K$12,1/(1+$A10)^DCF!$D$14:$K$14)+DCF!$K$12*(1+E$5)/($A10-E$5)/(1+$A10)^8+Assumptions!$B$143)/Assumptions!$B$141</f>
        <v>89.015077135928848</v>
      </c>
      <c r="F10" s="387">
        <f>(SUMPRODUCT(DCF!$D$12:$K$12,1/(1+$A10)^DCF!$D$14:$K$14)+DCF!$K$12*(1+F$5)/($A10-F$5)/(1+$A10)^8+Assumptions!$B$143)/Assumptions!$B$141</f>
        <v>93.733297308756093</v>
      </c>
      <c r="G10" s="387">
        <f>(SUMPRODUCT(DCF!$D$12:$K$12,1/(1+$A10)^DCF!$D$14:$K$14)+DCF!$K$12*(1+G$5)/($A10-G$5)/(1+$A10)^8+Assumptions!$B$143)/Assumptions!$B$141</f>
        <v>98.963602340424018</v>
      </c>
      <c r="H10" s="387">
        <f>(SUMPRODUCT(DCF!$D$12:$K$12,1/(1+$A10)^DCF!$D$14:$K$14)+DCF!$K$12*(1+H$5)/($A10-H$5)/(1+$A10)^8+Assumptions!$B$143)/Assumptions!$B$141</f>
        <v>104.79414343794397</v>
      </c>
    </row>
    <row r="11" spans="1:9" x14ac:dyDescent="0.25">
      <c r="A11" s="386">
        <f>DCF!$B$3+0.01</f>
        <v>0.15713746689384794</v>
      </c>
      <c r="B11" s="387">
        <f>(SUMPRODUCT(DCF!$D$12:$K$12,1/(1+$A11)^DCF!$D$14:$K$14)+DCF!$K$12*(1+B$5)/($A11-B$5)/(1+$A11)^8+Assumptions!$B$143)/Assumptions!$B$141</f>
        <v>71.683850547176959</v>
      </c>
      <c r="C11" s="387">
        <f>(SUMPRODUCT(DCF!$D$12:$K$12,1/(1+$A11)^DCF!$D$14:$K$14)+DCF!$K$12*(1+C$5)/($A11-C$5)/(1+$A11)^8+Assumptions!$B$143)/Assumptions!$B$141</f>
        <v>74.858097647590469</v>
      </c>
      <c r="D11" s="387">
        <f>(SUMPRODUCT(DCF!$D$12:$K$12,1/(1+$A11)^DCF!$D$14:$K$14)+DCF!$K$12*(1+D$5)/($A11-D$5)/(1+$A11)^8+Assumptions!$B$143)/Assumptions!$B$141</f>
        <v>78.315412235467178</v>
      </c>
      <c r="E11" s="387">
        <f>(SUMPRODUCT(DCF!$D$12:$K$12,1/(1+$A11)^DCF!$D$14:$K$14)+DCF!$K$12*(1+E$5)/($A11-E$5)/(1+$A11)^8+Assumptions!$B$143)/Assumptions!$B$141</f>
        <v>82.0954257528699</v>
      </c>
      <c r="F11" s="387">
        <f>(SUMPRODUCT(DCF!$D$12:$K$12,1/(1+$A11)^DCF!$D$14:$K$14)+DCF!$K$12*(1+F$5)/($A11-F$5)/(1+$A11)^8+Assumptions!$B$143)/Assumptions!$B$141</f>
        <v>86.245530054032784</v>
      </c>
      <c r="G11" s="387">
        <f>(SUMPRODUCT(DCF!$D$12:$K$12,1/(1+$A11)^DCF!$D$14:$K$14)+DCF!$K$12*(1+G$5)/($A11-G$5)/(1+$A11)^8+Assumptions!$B$143)/Assumptions!$B$141</f>
        <v>90.822874681083363</v>
      </c>
      <c r="H11" s="387">
        <f>(SUMPRODUCT(DCF!$D$12:$K$12,1/(1+$A11)^DCF!$D$14:$K$14)+DCF!$K$12*(1+H$5)/($A11-H$5)/(1+$A11)^8+Assumptions!$B$143)/Assumptions!$B$141</f>
        <v>95.897014453622788</v>
      </c>
    </row>
    <row r="12" spans="1:9" x14ac:dyDescent="0.25">
      <c r="A12" s="386">
        <f>DCF!$B$3+0.015</f>
        <v>0.16213746689384795</v>
      </c>
      <c r="B12" s="387">
        <f>(SUMPRODUCT(DCF!$D$12:$K$12,1/(1+$A12)^DCF!$D$14:$K$14)+DCF!$K$12*(1+B$5)/($A12-B$5)/(1+$A12)^8+Assumptions!$B$143)/Assumptions!$B$141</f>
        <v>66.60872138686122</v>
      </c>
      <c r="C12" s="387">
        <f>(SUMPRODUCT(DCF!$D$12:$K$12,1/(1+$A12)^DCF!$D$14:$K$14)+DCF!$K$12*(1+C$5)/($A12-C$5)/(1+$A12)^8+Assumptions!$B$143)/Assumptions!$B$141</f>
        <v>69.446347524248125</v>
      </c>
      <c r="D12" s="387">
        <f>(SUMPRODUCT(DCF!$D$12:$K$12,1/(1+$A12)^DCF!$D$14:$K$14)+DCF!$K$12*(1+D$5)/($A12-D$5)/(1+$A12)^8+Assumptions!$B$143)/Assumptions!$B$141</f>
        <v>72.526221186072135</v>
      </c>
      <c r="E12" s="387">
        <f>(SUMPRODUCT(DCF!$D$12:$K$12,1/(1+$A12)^DCF!$D$14:$K$14)+DCF!$K$12*(1+E$5)/($A12-E$5)/(1+$A12)^8+Assumptions!$B$143)/Assumptions!$B$141</f>
        <v>75.880746464981428</v>
      </c>
      <c r="F12" s="387">
        <f>(SUMPRODUCT(DCF!$D$12:$K$12,1/(1+$A12)^DCF!$D$14:$K$14)+DCF!$K$12*(1+F$5)/($A12-F$5)/(1+$A12)^8+Assumptions!$B$143)/Assumptions!$B$141</f>
        <v>79.548376521907599</v>
      </c>
      <c r="G12" s="387">
        <f>(SUMPRODUCT(DCF!$D$12:$K$12,1/(1+$A12)^DCF!$D$14:$K$14)+DCF!$K$12*(1+G$5)/($A12-G$5)/(1+$A12)^8+Assumptions!$B$143)/Assumptions!$B$141</f>
        <v>83.575094205388893</v>
      </c>
      <c r="H12" s="387">
        <f>(SUMPRODUCT(DCF!$D$12:$K$12,1/(1+$A12)^DCF!$D$14:$K$14)+DCF!$K$12*(1+H$5)/($A12-H$5)/(1+$A12)^8+Assumptions!$B$143)/Assumptions!$B$141</f>
        <v>88.016349946351312</v>
      </c>
    </row>
    <row r="14" spans="1:9" x14ac:dyDescent="0.25">
      <c r="A14" s="8" t="s">
        <v>1229</v>
      </c>
    </row>
    <row r="16" spans="1:9" x14ac:dyDescent="0.25">
      <c r="A16" s="4" t="s">
        <v>159</v>
      </c>
      <c r="B16" s="390">
        <v>18</v>
      </c>
      <c r="C16" s="390">
        <v>21</v>
      </c>
      <c r="D16" s="390">
        <v>24</v>
      </c>
      <c r="E16" s="391">
        <v>27</v>
      </c>
      <c r="F16" s="390">
        <v>30</v>
      </c>
      <c r="G16" s="390">
        <v>33</v>
      </c>
      <c r="H16" s="390">
        <v>36</v>
      </c>
    </row>
    <row r="17" spans="1:11" x14ac:dyDescent="0.25">
      <c r="A17" s="392">
        <f>IS!$K$48*0.7</f>
        <v>12250.99044876</v>
      </c>
      <c r="B17" s="387">
        <f>($A17*B$16/(1+DCF!$B$3)^4+Assumptions!$B$143)/'Share Count &amp; Dilution'!$K$9</f>
        <v>153.11995435640466</v>
      </c>
      <c r="C17" s="387">
        <f>($A17*C$16/(1+DCF!$B$3)^4+Assumptions!$B$143)/'Share Count &amp; Dilution'!$K$9</f>
        <v>175.48377541850223</v>
      </c>
      <c r="D17" s="387">
        <f>($A17*D$16/(1+DCF!$B$3)^4+Assumptions!$B$143)/'Share Count &amp; Dilution'!$K$9</f>
        <v>197.84759648059983</v>
      </c>
      <c r="E17" s="387">
        <f>($A17*E$16/(1+DCF!$B$3)^4+Assumptions!$B$143)/'Share Count &amp; Dilution'!$K$9</f>
        <v>220.21141754269746</v>
      </c>
      <c r="F17" s="387">
        <f>($A17*F$16/(1+DCF!$B$3)^4+Assumptions!$B$143)/'Share Count &amp; Dilution'!$K$9</f>
        <v>242.57523860479506</v>
      </c>
      <c r="G17" s="387">
        <f>($A17*G$16/(1+DCF!$B$3)^4+Assumptions!$B$143)/'Share Count &amp; Dilution'!$K$9</f>
        <v>264.93905966689266</v>
      </c>
      <c r="H17" s="387">
        <f>($A17*H$16/(1+DCF!$B$3)^4+Assumptions!$B$143)/'Share Count &amp; Dilution'!$K$9</f>
        <v>287.3028807289902</v>
      </c>
    </row>
    <row r="18" spans="1:11" x14ac:dyDescent="0.25">
      <c r="A18" s="392">
        <f>IS!$K$48*0.8</f>
        <v>14001.13194144</v>
      </c>
      <c r="B18" s="387">
        <f>($A18*B$16/(1+DCF!$B$3)^4+Assumptions!$B$143)/'Share Count &amp; Dilution'!$K$9</f>
        <v>172.28894383820261</v>
      </c>
      <c r="C18" s="387">
        <f>($A18*C$16/(1+DCF!$B$3)^4+Assumptions!$B$143)/'Share Count &amp; Dilution'!$K$9</f>
        <v>197.84759648059983</v>
      </c>
      <c r="D18" s="387">
        <f>($A18*D$16/(1+DCF!$B$3)^4+Assumptions!$B$143)/'Share Count &amp; Dilution'!$K$9</f>
        <v>223.40624912299714</v>
      </c>
      <c r="E18" s="387">
        <f>($A18*E$16/(1+DCF!$B$3)^4+Assumptions!$B$143)/'Share Count &amp; Dilution'!$K$9</f>
        <v>248.96490176539436</v>
      </c>
      <c r="F18" s="387">
        <f>($A18*F$16/(1+DCF!$B$3)^4+Assumptions!$B$143)/'Share Count &amp; Dilution'!$K$9</f>
        <v>274.52355440779166</v>
      </c>
      <c r="G18" s="387">
        <f>($A18*G$16/(1+DCF!$B$3)^4+Assumptions!$B$143)/'Share Count &amp; Dilution'!$K$9</f>
        <v>300.08220705018886</v>
      </c>
      <c r="H18" s="387">
        <f>($A18*H$16/(1+DCF!$B$3)^4+Assumptions!$B$143)/'Share Count &amp; Dilution'!$K$9</f>
        <v>325.64085969258616</v>
      </c>
    </row>
    <row r="19" spans="1:11" ht="15.75" thickBot="1" x14ac:dyDescent="0.3">
      <c r="A19" s="392">
        <f>IS!$K$48*0.9</f>
        <v>15751.273434120001</v>
      </c>
      <c r="B19" s="387">
        <f>($A19*B$16/(1+DCF!$B$3)^4+Assumptions!$B$143)/'Share Count &amp; Dilution'!$K$9</f>
        <v>191.45793332000056</v>
      </c>
      <c r="C19" s="387">
        <f>($A19*C$16/(1+DCF!$B$3)^4+Assumptions!$B$143)/'Share Count &amp; Dilution'!$K$9</f>
        <v>220.21141754269746</v>
      </c>
      <c r="D19" s="387">
        <f>($A19*D$16/(1+DCF!$B$3)^4+Assumptions!$B$143)/'Share Count &amp; Dilution'!$K$9</f>
        <v>248.96490176539439</v>
      </c>
      <c r="E19" s="387">
        <f>($A19*E$16/(1+DCF!$B$3)^4+Assumptions!$B$143)/'Share Count &amp; Dilution'!$K$9</f>
        <v>277.71838598809131</v>
      </c>
      <c r="F19" s="387">
        <f>($A19*F$16/(1+DCF!$B$3)^4+Assumptions!$B$143)/'Share Count &amp; Dilution'!$K$9</f>
        <v>306.47187021078821</v>
      </c>
      <c r="G19" s="387">
        <f>($A19*G$16/(1+DCF!$B$3)^4+Assumptions!$B$143)/'Share Count &amp; Dilution'!$K$9</f>
        <v>335.22535443348511</v>
      </c>
      <c r="H19" s="387">
        <f>($A19*H$16/(1+DCF!$B$3)^4+Assumptions!$B$143)/'Share Count &amp; Dilution'!$K$9</f>
        <v>363.97883865618206</v>
      </c>
    </row>
    <row r="20" spans="1:11" ht="16.5" thickTop="1" thickBot="1" x14ac:dyDescent="0.3">
      <c r="A20" s="393">
        <f>IS!$K$48</f>
        <v>17501.4149268</v>
      </c>
      <c r="B20" s="387">
        <f>($A20*B$16/(1+DCF!$B$3)^4+Assumptions!$B$143)/'Share Count &amp; Dilution'!$K$9</f>
        <v>210.62692280179849</v>
      </c>
      <c r="C20" s="387">
        <f>($A20*C$16/(1+DCF!$B$3)^4+Assumptions!$B$143)/'Share Count &amp; Dilution'!$K$9</f>
        <v>242.57523860479506</v>
      </c>
      <c r="D20" s="387">
        <f>($A20*D$16/(1+DCF!$B$3)^4+Assumptions!$B$143)/'Share Count &amp; Dilution'!$K$9</f>
        <v>274.52355440779161</v>
      </c>
      <c r="E20" s="389">
        <f>($A20*E$16/(1+DCF!$B$3)^4+Assumptions!$B$143)/'Share Count &amp; Dilution'!$K$9</f>
        <v>306.47187021078815</v>
      </c>
      <c r="F20" s="387">
        <f>($A20*F$16/(1+DCF!$B$3)^4+Assumptions!$B$143)/'Share Count &amp; Dilution'!$K$9</f>
        <v>338.42018601378476</v>
      </c>
      <c r="G20" s="387">
        <f>($A20*G$16/(1+DCF!$B$3)^4+Assumptions!$B$143)/'Share Count &amp; Dilution'!$K$9</f>
        <v>370.3685018167813</v>
      </c>
      <c r="H20" s="387">
        <f>($A20*H$16/(1+DCF!$B$3)^4+Assumptions!$B$143)/'Share Count &amp; Dilution'!$K$9</f>
        <v>402.31681761977791</v>
      </c>
    </row>
    <row r="21" spans="1:11" ht="15.75" thickTop="1" x14ac:dyDescent="0.25">
      <c r="A21" s="392">
        <f>IS!$K$48*1.1</f>
        <v>19251.556419480003</v>
      </c>
      <c r="B21" s="387">
        <f>($A21*B$16/(1+DCF!$B$3)^4+Assumptions!$B$143)/'Share Count &amp; Dilution'!$K$9</f>
        <v>229.79591228359646</v>
      </c>
      <c r="C21" s="387">
        <f>($A21*C$16/(1+DCF!$B$3)^4+Assumptions!$B$143)/'Share Count &amp; Dilution'!$K$9</f>
        <v>264.93905966689266</v>
      </c>
      <c r="D21" s="387">
        <f>($A21*D$16/(1+DCF!$B$3)^4+Assumptions!$B$143)/'Share Count &amp; Dilution'!$K$9</f>
        <v>300.08220705018891</v>
      </c>
      <c r="E21" s="387">
        <f>($A21*E$16/(1+DCF!$B$3)^4+Assumptions!$B$143)/'Share Count &amp; Dilution'!$K$9</f>
        <v>335.22535443348517</v>
      </c>
      <c r="F21" s="387">
        <f>($A21*F$16/(1+DCF!$B$3)^4+Assumptions!$B$143)/'Share Count &amp; Dilution'!$K$9</f>
        <v>370.36850181678142</v>
      </c>
      <c r="G21" s="387">
        <f>($A21*G$16/(1+DCF!$B$3)^4+Assumptions!$B$143)/'Share Count &amp; Dilution'!$K$9</f>
        <v>405.51164920007761</v>
      </c>
      <c r="H21" s="387">
        <f>($A21*H$16/(1+DCF!$B$3)^4+Assumptions!$B$143)/'Share Count &amp; Dilution'!$K$9</f>
        <v>440.65479658337387</v>
      </c>
    </row>
    <row r="22" spans="1:11" x14ac:dyDescent="0.25">
      <c r="A22" s="392">
        <f>IS!$K$48*1.2</f>
        <v>21001.697912159998</v>
      </c>
      <c r="B22" s="387">
        <f>($A22*B$16/(1+DCF!$B$3)^4+Assumptions!$B$143)/'Share Count &amp; Dilution'!$K$9</f>
        <v>248.96490176539433</v>
      </c>
      <c r="C22" s="387">
        <f>($A22*C$16/(1+DCF!$B$3)^4+Assumptions!$B$143)/'Share Count &amp; Dilution'!$K$9</f>
        <v>287.30288072899015</v>
      </c>
      <c r="D22" s="387">
        <f>($A22*D$16/(1+DCF!$B$3)^4+Assumptions!$B$143)/'Share Count &amp; Dilution'!$K$9</f>
        <v>325.6408596925861</v>
      </c>
      <c r="E22" s="387">
        <f>($A22*E$16/(1+DCF!$B$3)^4+Assumptions!$B$143)/'Share Count &amp; Dilution'!$K$9</f>
        <v>363.97883865618195</v>
      </c>
      <c r="F22" s="387">
        <f>($A22*F$16/(1+DCF!$B$3)^4+Assumptions!$B$143)/'Share Count &amp; Dilution'!$K$9</f>
        <v>402.31681761977785</v>
      </c>
      <c r="G22" s="387">
        <f>($A22*G$16/(1+DCF!$B$3)^4+Assumptions!$B$143)/'Share Count &amp; Dilution'!$K$9</f>
        <v>440.6547965833737</v>
      </c>
      <c r="H22" s="387">
        <f>($A22*H$16/(1+DCF!$B$3)^4+Assumptions!$B$143)/'Share Count &amp; Dilution'!$K$9</f>
        <v>478.9927755469696</v>
      </c>
    </row>
    <row r="23" spans="1:11" x14ac:dyDescent="0.25">
      <c r="A23" s="392">
        <f>IS!$K$48*1.3</f>
        <v>22751.83940484</v>
      </c>
      <c r="B23" s="387">
        <f>($A23*B$16/(1+DCF!$B$3)^4+Assumptions!$B$143)/'Share Count &amp; Dilution'!$K$9</f>
        <v>268.13389124719231</v>
      </c>
      <c r="C23" s="387">
        <f>($A23*C$16/(1+DCF!$B$3)^4+Assumptions!$B$143)/'Share Count &amp; Dilution'!$K$9</f>
        <v>309.66670179108786</v>
      </c>
      <c r="D23" s="387">
        <f>($A23*D$16/(1+DCF!$B$3)^4+Assumptions!$B$143)/'Share Count &amp; Dilution'!$K$9</f>
        <v>351.19951233498347</v>
      </c>
      <c r="E23" s="387">
        <f>($A23*E$16/(1+DCF!$B$3)^4+Assumptions!$B$143)/'Share Count &amp; Dilution'!$K$9</f>
        <v>392.73232287887896</v>
      </c>
      <c r="F23" s="387">
        <f>($A23*F$16/(1+DCF!$B$3)^4+Assumptions!$B$143)/'Share Count &amp; Dilution'!$K$9</f>
        <v>434.26513342277445</v>
      </c>
      <c r="G23" s="387">
        <f>($A23*G$16/(1+DCF!$B$3)^4+Assumptions!$B$143)/'Share Count &amp; Dilution'!$K$9</f>
        <v>475.79794396667006</v>
      </c>
      <c r="H23" s="387">
        <f>($A23*H$16/(1+DCF!$B$3)^4+Assumptions!$B$143)/'Share Count &amp; Dilution'!$K$9</f>
        <v>517.3307545105655</v>
      </c>
    </row>
    <row r="25" spans="1:11" x14ac:dyDescent="0.25">
      <c r="A25" s="3" t="s">
        <v>160</v>
      </c>
      <c r="B25" s="191">
        <f>Assumptions!B142</f>
        <v>281</v>
      </c>
    </row>
    <row r="27" spans="1:11" x14ac:dyDescent="0.25">
      <c r="A27" s="3" t="s">
        <v>1237</v>
      </c>
    </row>
    <row r="28" spans="1:11" x14ac:dyDescent="0.25">
      <c r="A28" s="2" t="s">
        <v>1238</v>
      </c>
    </row>
    <row r="29" spans="1:11" x14ac:dyDescent="0.25">
      <c r="A29" s="214" t="s">
        <v>1239</v>
      </c>
      <c r="B29" s="394">
        <v>900</v>
      </c>
      <c r="C29" s="394">
        <v>1000</v>
      </c>
      <c r="D29" s="394">
        <v>1100</v>
      </c>
      <c r="E29" s="394">
        <v>1200</v>
      </c>
      <c r="F29" s="394">
        <v>1300</v>
      </c>
      <c r="G29" s="394">
        <v>1400</v>
      </c>
      <c r="H29" s="394">
        <v>1500</v>
      </c>
      <c r="I29" s="234"/>
      <c r="J29" s="234" t="s">
        <v>1230</v>
      </c>
    </row>
    <row r="30" spans="1:11" x14ac:dyDescent="0.25">
      <c r="A30" s="395">
        <v>4893</v>
      </c>
      <c r="B30" s="396">
        <f>(($K$30+$A30*B$29*365/10000*$K$31)*$K$32/$K$33+$K$34)/$K$35</f>
        <v>173.03807237114017</v>
      </c>
      <c r="C30" s="396">
        <f t="shared" ref="C30:H36" si="0">(($K$30+$A30*C$29*365/10000*$K$31)*$K$32/$K$33+$K$34)/$K$35</f>
        <v>180.89442504023799</v>
      </c>
      <c r="D30" s="396">
        <f t="shared" si="0"/>
        <v>188.75077770933581</v>
      </c>
      <c r="E30" s="396">
        <f t="shared" si="0"/>
        <v>196.60713037843362</v>
      </c>
      <c r="F30" s="396">
        <f t="shared" si="0"/>
        <v>204.46348304753141</v>
      </c>
      <c r="G30" s="396">
        <f t="shared" si="0"/>
        <v>212.31983571662926</v>
      </c>
      <c r="H30" s="396">
        <f t="shared" si="0"/>
        <v>220.17618838572707</v>
      </c>
      <c r="I30" s="235"/>
      <c r="J30" s="235" t="s">
        <v>1231</v>
      </c>
      <c r="K30" s="190">
        <f>IS!K48-IS!K44</f>
        <v>6635.1276768000007</v>
      </c>
    </row>
    <row r="31" spans="1:11" x14ac:dyDescent="0.25">
      <c r="A31" s="395">
        <v>5193</v>
      </c>
      <c r="B31" s="396">
        <f t="shared" ref="B31:B36" si="1">(($K$30+$A31*B$29*365/10000*$K$31)*$K$32/$K$33+$K$34)/$K$35</f>
        <v>177.37327617383056</v>
      </c>
      <c r="C31" s="396">
        <f t="shared" si="0"/>
        <v>185.71131815433841</v>
      </c>
      <c r="D31" s="396">
        <f t="shared" si="0"/>
        <v>194.0493601348463</v>
      </c>
      <c r="E31" s="396">
        <f t="shared" si="0"/>
        <v>202.38740211535415</v>
      </c>
      <c r="F31" s="396">
        <f t="shared" si="0"/>
        <v>210.725444095862</v>
      </c>
      <c r="G31" s="396">
        <f t="shared" si="0"/>
        <v>219.06348607636986</v>
      </c>
      <c r="H31" s="396">
        <f t="shared" si="0"/>
        <v>227.40152805687774</v>
      </c>
      <c r="I31" s="235"/>
      <c r="J31" s="235" t="s">
        <v>1232</v>
      </c>
      <c r="K31" s="189">
        <f>Assumptions!K50</f>
        <v>3.5000000000000003E-2</v>
      </c>
    </row>
    <row r="32" spans="1:11" ht="15.75" thickBot="1" x14ac:dyDescent="0.3">
      <c r="A32" s="395">
        <v>5493</v>
      </c>
      <c r="B32" s="396">
        <f t="shared" si="1"/>
        <v>181.70847997652095</v>
      </c>
      <c r="C32" s="396">
        <f t="shared" si="0"/>
        <v>190.52821126843884</v>
      </c>
      <c r="D32" s="396">
        <f t="shared" si="0"/>
        <v>199.34794256035676</v>
      </c>
      <c r="E32" s="396">
        <f t="shared" si="0"/>
        <v>208.16767385227465</v>
      </c>
      <c r="F32" s="397">
        <f t="shared" si="0"/>
        <v>216.98740514419256</v>
      </c>
      <c r="G32" s="396">
        <f t="shared" si="0"/>
        <v>225.80713643611045</v>
      </c>
      <c r="H32" s="396">
        <f t="shared" si="0"/>
        <v>234.6268677280284</v>
      </c>
      <c r="I32" s="235"/>
      <c r="J32" s="235" t="s">
        <v>1233</v>
      </c>
      <c r="K32" s="95">
        <f>SOTP!D9/IS!K48</f>
        <v>20.65528982991637</v>
      </c>
    </row>
    <row r="33" spans="1:11" ht="16.5" thickTop="1" thickBot="1" x14ac:dyDescent="0.3">
      <c r="A33" s="395">
        <v>5793</v>
      </c>
      <c r="B33" s="396">
        <f t="shared" si="1"/>
        <v>186.04368377921136</v>
      </c>
      <c r="C33" s="396">
        <f t="shared" si="0"/>
        <v>195.34510438253929</v>
      </c>
      <c r="D33" s="396">
        <f t="shared" si="0"/>
        <v>204.64652498586727</v>
      </c>
      <c r="E33" s="398">
        <f t="shared" si="0"/>
        <v>213.9479455891952</v>
      </c>
      <c r="F33" s="236">
        <f t="shared" si="0"/>
        <v>223.24936619252313</v>
      </c>
      <c r="G33" s="399">
        <f t="shared" si="0"/>
        <v>232.55078679585114</v>
      </c>
      <c r="H33" s="396">
        <f t="shared" si="0"/>
        <v>241.85220739917909</v>
      </c>
      <c r="I33" s="235"/>
      <c r="J33" s="235" t="s">
        <v>1234</v>
      </c>
      <c r="K33" s="220">
        <f>(1+DCF!B3)^4</f>
        <v>1.7316569421689072</v>
      </c>
    </row>
    <row r="34" spans="1:11" ht="15.75" thickTop="1" x14ac:dyDescent="0.25">
      <c r="A34" s="395">
        <v>6093</v>
      </c>
      <c r="B34" s="396">
        <f t="shared" si="1"/>
        <v>190.37888758190178</v>
      </c>
      <c r="C34" s="396">
        <f t="shared" si="0"/>
        <v>200.16199749663977</v>
      </c>
      <c r="D34" s="396">
        <f t="shared" si="0"/>
        <v>209.94510741137773</v>
      </c>
      <c r="E34" s="396">
        <f t="shared" si="0"/>
        <v>219.72821732611575</v>
      </c>
      <c r="F34" s="400">
        <f t="shared" si="0"/>
        <v>229.51132724085372</v>
      </c>
      <c r="G34" s="396">
        <f t="shared" si="0"/>
        <v>239.29443715559171</v>
      </c>
      <c r="H34" s="396">
        <f t="shared" si="0"/>
        <v>249.0775470703297</v>
      </c>
      <c r="I34" s="235"/>
      <c r="J34" s="235" t="s">
        <v>1235</v>
      </c>
      <c r="K34" s="190">
        <f>Assumptions!B143</f>
        <v>17972</v>
      </c>
    </row>
    <row r="35" spans="1:11" x14ac:dyDescent="0.25">
      <c r="A35" s="395">
        <v>6393</v>
      </c>
      <c r="B35" s="396">
        <f t="shared" si="1"/>
        <v>194.71409138459214</v>
      </c>
      <c r="C35" s="396">
        <f t="shared" si="0"/>
        <v>204.97889061074022</v>
      </c>
      <c r="D35" s="396">
        <f t="shared" si="0"/>
        <v>215.24368983688822</v>
      </c>
      <c r="E35" s="396">
        <f t="shared" si="0"/>
        <v>225.50848906303622</v>
      </c>
      <c r="F35" s="396">
        <f t="shared" si="0"/>
        <v>235.77328828918428</v>
      </c>
      <c r="G35" s="396">
        <f t="shared" si="0"/>
        <v>246.03808751533234</v>
      </c>
      <c r="H35" s="396">
        <f t="shared" si="0"/>
        <v>256.30288674148039</v>
      </c>
      <c r="I35" s="235"/>
      <c r="J35" s="235" t="s">
        <v>1079</v>
      </c>
      <c r="K35" s="136">
        <f>'Share Count &amp; Dilution'!K9</f>
        <v>949.04015642562058</v>
      </c>
    </row>
    <row r="36" spans="1:11" x14ac:dyDescent="0.25">
      <c r="A36" s="395">
        <v>6693</v>
      </c>
      <c r="B36" s="396">
        <f t="shared" si="1"/>
        <v>199.0492951872825</v>
      </c>
      <c r="C36" s="396">
        <f t="shared" si="0"/>
        <v>209.79578372484062</v>
      </c>
      <c r="D36" s="396">
        <f t="shared" si="0"/>
        <v>220.54227226239874</v>
      </c>
      <c r="E36" s="396">
        <f t="shared" si="0"/>
        <v>231.28876079995678</v>
      </c>
      <c r="F36" s="396">
        <f t="shared" si="0"/>
        <v>242.03524933751484</v>
      </c>
      <c r="G36" s="396">
        <f t="shared" si="0"/>
        <v>252.78173787507296</v>
      </c>
      <c r="H36" s="396">
        <f t="shared" si="0"/>
        <v>263.52822641263106</v>
      </c>
      <c r="I36" s="235"/>
      <c r="J36" s="235" t="s">
        <v>1236</v>
      </c>
      <c r="K36" s="190">
        <f>'Revenue Schedule'!J56</f>
        <v>310465.34999999998</v>
      </c>
    </row>
    <row r="39" spans="1:11" x14ac:dyDescent="0.25">
      <c r="A39" s="3" t="s">
        <v>1240</v>
      </c>
    </row>
    <row r="40" spans="1:11" x14ac:dyDescent="0.25">
      <c r="A40" s="2" t="s">
        <v>1241</v>
      </c>
    </row>
    <row r="41" spans="1:11" x14ac:dyDescent="0.25">
      <c r="A41" s="214" t="s">
        <v>1242</v>
      </c>
      <c r="B41" s="401">
        <f>$K$32-12</f>
        <v>8.6552898299163701</v>
      </c>
      <c r="C41" s="401">
        <f>$K$32-8</f>
        <v>12.65528982991637</v>
      </c>
      <c r="D41" s="401">
        <f>$K$32-4</f>
        <v>16.65528982991637</v>
      </c>
      <c r="E41" s="401">
        <f>$K$32</f>
        <v>20.65528982991637</v>
      </c>
      <c r="F41" s="401">
        <f>$K$32+4</f>
        <v>24.65528982991637</v>
      </c>
      <c r="G41" s="401">
        <f>$K$32+8</f>
        <v>28.65528982991637</v>
      </c>
      <c r="H41" s="401">
        <f>$K$32+12</f>
        <v>32.65528982991637</v>
      </c>
    </row>
    <row r="42" spans="1:11" x14ac:dyDescent="0.25">
      <c r="A42" s="402">
        <v>0.02</v>
      </c>
      <c r="B42" s="396">
        <f>(($K$30+$K$36*$A42)*B$41/$K$33+$K$34)/$K$35</f>
        <v>86.584280469469562</v>
      </c>
      <c r="C42" s="396">
        <f t="shared" ref="C42:H48" si="2">(($K$30+$K$36*$A42)*C$41/$K$33+$K$34)/$K$35</f>
        <v>117.84712842255959</v>
      </c>
      <c r="D42" s="396">
        <f t="shared" si="2"/>
        <v>149.10997637564964</v>
      </c>
      <c r="E42" s="396">
        <f t="shared" si="2"/>
        <v>180.37282432873965</v>
      </c>
      <c r="F42" s="396">
        <f t="shared" si="2"/>
        <v>211.63567228182973</v>
      </c>
      <c r="G42" s="396">
        <f t="shared" si="2"/>
        <v>242.89852023491974</v>
      </c>
      <c r="H42" s="396">
        <f t="shared" si="2"/>
        <v>274.16136818800976</v>
      </c>
    </row>
    <row r="43" spans="1:11" x14ac:dyDescent="0.25">
      <c r="A43" s="402">
        <v>2.5000000000000001E-2</v>
      </c>
      <c r="B43" s="396">
        <f t="shared" ref="B43:B48" si="3">(($K$30+$K$36*$A43)*B$41/$K$33+$K$34)/$K$35</f>
        <v>94.759855513434132</v>
      </c>
      <c r="C43" s="396">
        <f t="shared" si="2"/>
        <v>129.80100561682596</v>
      </c>
      <c r="D43" s="396">
        <f t="shared" si="2"/>
        <v>164.84215572021779</v>
      </c>
      <c r="E43" s="396">
        <f t="shared" si="2"/>
        <v>199.88330582360962</v>
      </c>
      <c r="F43" s="396">
        <f t="shared" si="2"/>
        <v>234.92445592700147</v>
      </c>
      <c r="G43" s="396">
        <f t="shared" si="2"/>
        <v>269.96560603039325</v>
      </c>
      <c r="H43" s="396">
        <f t="shared" si="2"/>
        <v>305.00675613378507</v>
      </c>
    </row>
    <row r="44" spans="1:11" ht="15.75" thickBot="1" x14ac:dyDescent="0.3">
      <c r="A44" s="402">
        <v>0.03</v>
      </c>
      <c r="B44" s="396">
        <f t="shared" si="3"/>
        <v>102.9354305573987</v>
      </c>
      <c r="C44" s="396">
        <f t="shared" si="2"/>
        <v>141.75488281109233</v>
      </c>
      <c r="D44" s="396">
        <f t="shared" si="2"/>
        <v>180.57433506478597</v>
      </c>
      <c r="E44" s="397">
        <f t="shared" si="2"/>
        <v>219.39378731847961</v>
      </c>
      <c r="F44" s="396">
        <f t="shared" si="2"/>
        <v>258.21323957217322</v>
      </c>
      <c r="G44" s="396">
        <f t="shared" si="2"/>
        <v>297.03269182586683</v>
      </c>
      <c r="H44" s="396">
        <f t="shared" si="2"/>
        <v>335.8521440795605</v>
      </c>
    </row>
    <row r="45" spans="1:11" ht="16.5" thickTop="1" thickBot="1" x14ac:dyDescent="0.3">
      <c r="A45" s="402">
        <v>3.5000000000000003E-2</v>
      </c>
      <c r="B45" s="396">
        <f t="shared" si="3"/>
        <v>111.11100560136329</v>
      </c>
      <c r="C45" s="396">
        <f t="shared" si="2"/>
        <v>153.70876000535873</v>
      </c>
      <c r="D45" s="403">
        <f t="shared" si="2"/>
        <v>196.30651440935415</v>
      </c>
      <c r="E45" s="237">
        <f t="shared" si="2"/>
        <v>238.90426881334955</v>
      </c>
      <c r="F45" s="399">
        <f t="shared" si="2"/>
        <v>281.50202321734497</v>
      </c>
      <c r="G45" s="396">
        <f t="shared" si="2"/>
        <v>324.09977762134042</v>
      </c>
      <c r="H45" s="396">
        <f t="shared" si="2"/>
        <v>366.69753202533587</v>
      </c>
    </row>
    <row r="46" spans="1:11" ht="15.75" thickTop="1" x14ac:dyDescent="0.25">
      <c r="A46" s="402">
        <v>0.04</v>
      </c>
      <c r="B46" s="396">
        <f t="shared" si="3"/>
        <v>119.28658064532785</v>
      </c>
      <c r="C46" s="396">
        <f t="shared" si="2"/>
        <v>165.6626371996251</v>
      </c>
      <c r="D46" s="396">
        <f t="shared" si="2"/>
        <v>212.0386937539223</v>
      </c>
      <c r="E46" s="400">
        <f t="shared" si="2"/>
        <v>258.41475030821954</v>
      </c>
      <c r="F46" s="396">
        <f t="shared" si="2"/>
        <v>304.79080686251677</v>
      </c>
      <c r="G46" s="396">
        <f t="shared" si="2"/>
        <v>351.16686341681401</v>
      </c>
      <c r="H46" s="396">
        <f t="shared" si="2"/>
        <v>397.54291997111119</v>
      </c>
    </row>
    <row r="47" spans="1:11" x14ac:dyDescent="0.25">
      <c r="A47" s="402">
        <v>4.4999999999999998E-2</v>
      </c>
      <c r="B47" s="396">
        <f t="shared" si="3"/>
        <v>127.46215568929242</v>
      </c>
      <c r="C47" s="396">
        <f t="shared" si="2"/>
        <v>177.61651439389144</v>
      </c>
      <c r="D47" s="396">
        <f t="shared" si="2"/>
        <v>227.77087309849045</v>
      </c>
      <c r="E47" s="396">
        <f t="shared" si="2"/>
        <v>277.92523180308945</v>
      </c>
      <c r="F47" s="396">
        <f t="shared" si="2"/>
        <v>328.07959050768847</v>
      </c>
      <c r="G47" s="396">
        <f t="shared" si="2"/>
        <v>378.23394921228754</v>
      </c>
      <c r="H47" s="396">
        <f t="shared" si="2"/>
        <v>428.3883079168865</v>
      </c>
    </row>
    <row r="48" spans="1:11" x14ac:dyDescent="0.25">
      <c r="A48" s="402">
        <v>0.05</v>
      </c>
      <c r="B48" s="396">
        <f t="shared" si="3"/>
        <v>135.63773073325703</v>
      </c>
      <c r="C48" s="396">
        <f t="shared" si="2"/>
        <v>189.57039158815786</v>
      </c>
      <c r="D48" s="396">
        <f t="shared" si="2"/>
        <v>243.50305244305864</v>
      </c>
      <c r="E48" s="396">
        <f t="shared" si="2"/>
        <v>297.43571329795947</v>
      </c>
      <c r="F48" s="396">
        <f t="shared" si="2"/>
        <v>351.36837415286027</v>
      </c>
      <c r="G48" s="396">
        <f t="shared" si="2"/>
        <v>405.30103500776113</v>
      </c>
      <c r="H48" s="396">
        <f t="shared" si="2"/>
        <v>459.23369586266188</v>
      </c>
    </row>
    <row r="50" spans="1:6" x14ac:dyDescent="0.25">
      <c r="A50" s="3" t="s">
        <v>1420</v>
      </c>
    </row>
    <row r="51" spans="1:6" x14ac:dyDescent="0.25">
      <c r="A51" t="s">
        <v>1421</v>
      </c>
    </row>
    <row r="52" spans="1:6" x14ac:dyDescent="0.25">
      <c r="A52" s="3" t="s">
        <v>1422</v>
      </c>
      <c r="B52" s="404">
        <v>14</v>
      </c>
      <c r="C52" s="404">
        <v>18</v>
      </c>
      <c r="D52" s="404">
        <v>22</v>
      </c>
      <c r="E52" s="404">
        <v>26</v>
      </c>
      <c r="F52" s="404">
        <v>30</v>
      </c>
    </row>
    <row r="53" spans="1:6" x14ac:dyDescent="0.25">
      <c r="A53" s="324">
        <f>(IS!$K$43+IS!$K$45+IS!$K$46+IS!$K$47)*0.7</f>
        <v>4644.589373759999</v>
      </c>
      <c r="B53" s="387">
        <f>((SOTP!$B$5*SOTP!$C$5+$A53*B$52)*SOTP!$D$24/(1+DCF!$B$3)^4+Assumptions!$B$143)/SOTP!$D$16</f>
        <v>217.82819790054606</v>
      </c>
      <c r="C53" s="387">
        <f>((SOTP!$B$5*SOTP!$C$5+$A53*C$52)*SOTP!$D$24/(1+DCF!$B$3)^4+Assumptions!$B$143)/SOTP!$D$16</f>
        <v>229.13294544686406</v>
      </c>
      <c r="D53" s="387">
        <f>((SOTP!$B$5*SOTP!$C$5+$A53*D$52)*SOTP!$D$24/(1+DCF!$B$3)^4+Assumptions!$B$143)/SOTP!$D$16</f>
        <v>240.43769299318203</v>
      </c>
      <c r="E53" s="387">
        <f>((SOTP!$B$5*SOTP!$C$5+$A53*E$52)*SOTP!$D$24/(1+DCF!$B$3)^4+Assumptions!$B$143)/SOTP!$D$16</f>
        <v>251.74244053950002</v>
      </c>
      <c r="F53" s="387">
        <f>((SOTP!$B$5*SOTP!$C$5+$A53*F$52)*SOTP!$D$24/(1+DCF!$B$3)^4+Assumptions!$B$143)/SOTP!$D$16</f>
        <v>263.04718808581805</v>
      </c>
    </row>
    <row r="54" spans="1:6" x14ac:dyDescent="0.25">
      <c r="A54" s="324">
        <f>(IS!$K$43+IS!$K$45+IS!$K$46+IS!$K$47)*0.8</f>
        <v>5308.1021414399993</v>
      </c>
      <c r="B54" s="387">
        <f>((SOTP!$B$5*SOTP!$C$5+$A54*B$52)*SOTP!$D$24/(1+DCF!$B$3)^4+Assumptions!$B$143)/SOTP!$D$16</f>
        <v>223.48057167370507</v>
      </c>
      <c r="C54" s="387">
        <f>((SOTP!$B$5*SOTP!$C$5+$A54*C$52)*SOTP!$D$24/(1+DCF!$B$3)^4+Assumptions!$B$143)/SOTP!$D$16</f>
        <v>236.40028315521135</v>
      </c>
      <c r="D54" s="387">
        <f>((SOTP!$B$5*SOTP!$C$5+$A54*D$52)*SOTP!$D$24/(1+DCF!$B$3)^4+Assumptions!$B$143)/SOTP!$D$16</f>
        <v>249.31999463671761</v>
      </c>
      <c r="E54" s="387">
        <f>((SOTP!$B$5*SOTP!$C$5+$A54*E$52)*SOTP!$D$24/(1+DCF!$B$3)^4+Assumptions!$B$143)/SOTP!$D$16</f>
        <v>262.23970611822392</v>
      </c>
      <c r="F54" s="387">
        <f>((SOTP!$B$5*SOTP!$C$5+$A54*F$52)*SOTP!$D$24/(1+DCF!$B$3)^4+Assumptions!$B$143)/SOTP!$D$16</f>
        <v>275.15941759973015</v>
      </c>
    </row>
    <row r="55" spans="1:6" ht="15.75" thickBot="1" x14ac:dyDescent="0.3">
      <c r="A55" s="324">
        <f>(IS!$K$43+IS!$K$45+IS!$K$46+IS!$K$47)*0.9</f>
        <v>5971.6149091199995</v>
      </c>
      <c r="B55" s="387">
        <f>((SOTP!$B$5*SOTP!$C$5+$A55*B$52)*SOTP!$D$24/(1+DCF!$B$3)^4+Assumptions!$B$143)/SOTP!$D$16</f>
        <v>229.13294544686406</v>
      </c>
      <c r="C55" s="387">
        <f>((SOTP!$B$5*SOTP!$C$5+$A55*C$52)*SOTP!$D$24/(1+DCF!$B$3)^4+Assumptions!$B$143)/SOTP!$D$16</f>
        <v>243.66762086355862</v>
      </c>
      <c r="D55" s="387">
        <f>((SOTP!$B$5*SOTP!$C$5+$A55*D$52)*SOTP!$D$24/(1+DCF!$B$3)^4+Assumptions!$B$143)/SOTP!$D$16</f>
        <v>258.20229628025317</v>
      </c>
      <c r="E55" s="387">
        <f>((SOTP!$B$5*SOTP!$C$5+$A55*E$52)*SOTP!$D$24/(1+DCF!$B$3)^4+Assumptions!$B$143)/SOTP!$D$16</f>
        <v>272.73697169694776</v>
      </c>
      <c r="F55" s="387">
        <f>((SOTP!$B$5*SOTP!$C$5+$A55*F$52)*SOTP!$D$24/(1+DCF!$B$3)^4+Assumptions!$B$143)/SOTP!$D$16</f>
        <v>287.2716471136423</v>
      </c>
    </row>
    <row r="56" spans="1:6" ht="16.5" thickTop="1" thickBot="1" x14ac:dyDescent="0.3">
      <c r="A56" s="324">
        <f>(IS!$K$43+IS!$K$45+IS!$K$46+IS!$K$47)*1</f>
        <v>6635.1276767999989</v>
      </c>
      <c r="B56" s="387">
        <f>((SOTP!$B$5*SOTP!$C$5+$A56*B$52)*SOTP!$D$24/(1+DCF!$B$3)^4+Assumptions!$B$143)/SOTP!$D$16</f>
        <v>234.78531922002304</v>
      </c>
      <c r="C56" s="387">
        <f>((SOTP!$B$5*SOTP!$C$5+$A56*C$52)*SOTP!$D$24/(1+DCF!$B$3)^4+Assumptions!$B$143)/SOTP!$D$16</f>
        <v>250.9349585719059</v>
      </c>
      <c r="D56" s="389">
        <f>((SOTP!$B$5*SOTP!$C$5+$A56*D$52)*SOTP!$D$24/(1+DCF!$B$3)^4+Assumptions!$B$143)/SOTP!$D$16</f>
        <v>267.08459792378875</v>
      </c>
      <c r="E56" s="387">
        <f>((SOTP!$B$5*SOTP!$C$5+$A56*E$52)*SOTP!$D$24/(1+DCF!$B$3)^4+Assumptions!$B$143)/SOTP!$D$16</f>
        <v>283.2342372756716</v>
      </c>
      <c r="F56" s="387">
        <f>((SOTP!$B$5*SOTP!$C$5+$A56*F$52)*SOTP!$D$24/(1+DCF!$B$3)^4+Assumptions!$B$143)/SOTP!$D$16</f>
        <v>299.38387662755446</v>
      </c>
    </row>
    <row r="57" spans="1:6" ht="15.75" thickTop="1" x14ac:dyDescent="0.25">
      <c r="A57" s="324">
        <f>(IS!$K$43+IS!$K$45+IS!$K$46+IS!$K$47)*1.1</f>
        <v>7298.6404444799991</v>
      </c>
      <c r="B57" s="387">
        <f>((SOTP!$B$5*SOTP!$C$5+$A57*B$52)*SOTP!$D$24/(1+DCF!$B$3)^4+Assumptions!$B$143)/SOTP!$D$16</f>
        <v>240.43769299318205</v>
      </c>
      <c r="C57" s="387">
        <f>((SOTP!$B$5*SOTP!$C$5+$A57*C$52)*SOTP!$D$24/(1+DCF!$B$3)^4+Assumptions!$B$143)/SOTP!$D$16</f>
        <v>258.20229628025317</v>
      </c>
      <c r="D57" s="387">
        <f>((SOTP!$B$5*SOTP!$C$5+$A57*D$52)*SOTP!$D$24/(1+DCF!$B$3)^4+Assumptions!$B$143)/SOTP!$D$16</f>
        <v>275.96689956732433</v>
      </c>
      <c r="E57" s="387">
        <f>((SOTP!$B$5*SOTP!$C$5+$A57*E$52)*SOTP!$D$24/(1+DCF!$B$3)^4+Assumptions!$B$143)/SOTP!$D$16</f>
        <v>293.73150285439544</v>
      </c>
      <c r="F57" s="387">
        <f>((SOTP!$B$5*SOTP!$C$5+$A57*F$52)*SOTP!$D$24/(1+DCF!$B$3)^4+Assumptions!$B$143)/SOTP!$D$16</f>
        <v>311.49610614146661</v>
      </c>
    </row>
    <row r="58" spans="1:6" x14ac:dyDescent="0.25">
      <c r="A58" s="324">
        <f>(IS!$K$43+IS!$K$45+IS!$K$46+IS!$K$47)*1.2</f>
        <v>7962.1532121599985</v>
      </c>
      <c r="B58" s="387">
        <f>((SOTP!$B$5*SOTP!$C$5+$A58*B$52)*SOTP!$D$24/(1+DCF!$B$3)^4+Assumptions!$B$143)/SOTP!$D$16</f>
        <v>246.09006676634104</v>
      </c>
      <c r="C58" s="387">
        <f>((SOTP!$B$5*SOTP!$C$5+$A58*C$52)*SOTP!$D$24/(1+DCF!$B$3)^4+Assumptions!$B$143)/SOTP!$D$16</f>
        <v>265.46963398860044</v>
      </c>
      <c r="D58" s="387">
        <f>((SOTP!$B$5*SOTP!$C$5+$A58*D$52)*SOTP!$D$24/(1+DCF!$B$3)^4+Assumptions!$B$143)/SOTP!$D$16</f>
        <v>284.84920121085992</v>
      </c>
      <c r="E58" s="387">
        <f>((SOTP!$B$5*SOTP!$C$5+$A58*E$52)*SOTP!$D$24/(1+DCF!$B$3)^4+Assumptions!$B$143)/SOTP!$D$16</f>
        <v>304.22876843311928</v>
      </c>
      <c r="F58" s="387">
        <f>((SOTP!$B$5*SOTP!$C$5+$A58*F$52)*SOTP!$D$24/(1+DCF!$B$3)^4+Assumptions!$B$143)/SOTP!$D$16</f>
        <v>323.60833565537871</v>
      </c>
    </row>
    <row r="59" spans="1:6" x14ac:dyDescent="0.25">
      <c r="A59" s="324">
        <f>(IS!$K$43+IS!$K$45+IS!$K$46+IS!$K$47)*1.3</f>
        <v>8625.6659798399996</v>
      </c>
      <c r="B59" s="387">
        <f>((SOTP!$B$5*SOTP!$C$5+$A59*B$52)*SOTP!$D$24/(1+DCF!$B$3)^4+Assumptions!$B$143)/SOTP!$D$16</f>
        <v>251.74244053950005</v>
      </c>
      <c r="C59" s="387">
        <f>((SOTP!$B$5*SOTP!$C$5+$A59*C$52)*SOTP!$D$24/(1+DCF!$B$3)^4+Assumptions!$B$143)/SOTP!$D$16</f>
        <v>272.73697169694776</v>
      </c>
      <c r="D59" s="387">
        <f>((SOTP!$B$5*SOTP!$C$5+$A59*D$52)*SOTP!$D$24/(1+DCF!$B$3)^4+Assumptions!$B$143)/SOTP!$D$16</f>
        <v>293.73150285439544</v>
      </c>
      <c r="E59" s="387">
        <f>((SOTP!$B$5*SOTP!$C$5+$A59*E$52)*SOTP!$D$24/(1+DCF!$B$3)^4+Assumptions!$B$143)/SOTP!$D$16</f>
        <v>314.72603401184313</v>
      </c>
      <c r="F59" s="387">
        <f>((SOTP!$B$5*SOTP!$C$5+$A59*F$52)*SOTP!$D$24/(1+DCF!$B$3)^4+Assumptions!$B$143)/SOTP!$D$16</f>
        <v>335.72056516929081</v>
      </c>
    </row>
  </sheetData>
  <conditionalFormatting sqref="B53:F59">
    <cfRule type="colorScale" priority="5">
      <colorScale>
        <cfvo type="min"/>
        <cfvo type="percentile" val="50"/>
        <cfvo type="max"/>
        <color rgb="FFF8696B"/>
        <color rgb="FFFFEB84"/>
        <color rgb="FF63BE7B"/>
      </colorScale>
    </cfRule>
  </conditionalFormatting>
  <conditionalFormatting sqref="B6:H12">
    <cfRule type="colorScale" priority="1">
      <colorScale>
        <cfvo type="min"/>
        <cfvo type="percentile" val="50"/>
        <cfvo type="max"/>
        <color rgb="FFF8696B"/>
        <color rgb="FFFFEB84"/>
        <color rgb="FF63BE7B"/>
      </colorScale>
    </cfRule>
  </conditionalFormatting>
  <conditionalFormatting sqref="B17:H23">
    <cfRule type="colorScale" priority="2">
      <colorScale>
        <cfvo type="min"/>
        <cfvo type="percentile" val="50"/>
        <cfvo type="max"/>
        <color rgb="FFF8696B"/>
        <color rgb="FFFFEB84"/>
        <color rgb="FF63BE7B"/>
      </colorScale>
    </cfRule>
  </conditionalFormatting>
  <conditionalFormatting sqref="B42:H48">
    <cfRule type="colorScale" priority="4">
      <colorScale>
        <cfvo type="min"/>
        <cfvo type="percentile" val="50"/>
        <cfvo type="max"/>
        <color rgb="FFF8696B"/>
        <color rgb="FFFFEB84"/>
        <color rgb="FF63BE7B"/>
      </colorScale>
    </cfRule>
  </conditionalFormatting>
  <conditionalFormatting sqref="B30:J36">
    <cfRule type="colorScale" priority="3">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C52C8-0E93-4B38-A617-9D41C667D5C7}">
  <dimension ref="A1:F48"/>
  <sheetViews>
    <sheetView topLeftCell="A25" zoomScale="80" zoomScaleNormal="80" workbookViewId="0">
      <selection activeCell="E30" sqref="E30"/>
    </sheetView>
  </sheetViews>
  <sheetFormatPr defaultRowHeight="15" x14ac:dyDescent="0.25"/>
  <cols>
    <col min="1" max="1" width="54.5703125" customWidth="1"/>
    <col min="2" max="2" width="9.5703125" bestFit="1" customWidth="1"/>
    <col min="3" max="3" width="13.5703125" customWidth="1"/>
    <col min="4" max="4" width="10.28515625" bestFit="1" customWidth="1"/>
    <col min="5" max="5" width="69.140625" style="21" customWidth="1"/>
    <col min="6" max="6" width="47.28515625" customWidth="1"/>
  </cols>
  <sheetData>
    <row r="1" spans="1:6" ht="18.75" x14ac:dyDescent="0.3">
      <c r="A1" s="5" t="s">
        <v>161</v>
      </c>
      <c r="F1" s="137" t="str">
        <f>Data_Sources!$D$26&amp;" | "&amp;Data_Sources!$E$26&amp;" | "&amp;Data_Sources!$F$26</f>
        <v>Analyst estimate — not sourced from company disclosure | Judgement; sensitivity tested on the Sensitivity tab | n/a</v>
      </c>
    </row>
    <row r="3" spans="1:6" x14ac:dyDescent="0.25">
      <c r="A3" s="4" t="s">
        <v>162</v>
      </c>
      <c r="B3" s="6" t="s">
        <v>163</v>
      </c>
      <c r="C3" s="12" t="s">
        <v>164</v>
      </c>
      <c r="D3" s="6" t="s">
        <v>165</v>
      </c>
      <c r="E3" s="44" t="s">
        <v>155</v>
      </c>
    </row>
    <row r="4" spans="1:6" x14ac:dyDescent="0.25">
      <c r="A4" s="8" t="s">
        <v>166</v>
      </c>
    </row>
    <row r="5" spans="1:6" ht="24.75" x14ac:dyDescent="0.25">
      <c r="A5" t="s">
        <v>167</v>
      </c>
      <c r="B5" s="33">
        <v>0.35</v>
      </c>
      <c r="C5" s="189">
        <f>('Revenue Schedule'!J56/'Revenue Schedule'!F56)^(1/4)-1</f>
        <v>0.59006811633829703</v>
      </c>
      <c r="D5" s="33">
        <v>0.7</v>
      </c>
      <c r="E5" s="23" t="s">
        <v>168</v>
      </c>
    </row>
    <row r="6" spans="1:6" x14ac:dyDescent="0.25">
      <c r="A6" t="s">
        <v>169</v>
      </c>
      <c r="B6" s="33">
        <v>2.5000000000000001E-2</v>
      </c>
      <c r="C6" s="189">
        <f>Assumptions!K50</f>
        <v>3.5000000000000003E-2</v>
      </c>
      <c r="D6" s="33">
        <v>0.06</v>
      </c>
      <c r="E6" s="23" t="s">
        <v>170</v>
      </c>
    </row>
    <row r="7" spans="1:6" x14ac:dyDescent="0.25">
      <c r="A7" t="s">
        <v>171</v>
      </c>
      <c r="B7" s="33">
        <v>0.12</v>
      </c>
      <c r="C7" s="189">
        <f>('Revenue Schedule'!J42/'Revenue Schedule'!F42)^(1/4)-1</f>
        <v>0.18432521568200588</v>
      </c>
      <c r="D7" s="33">
        <v>0.22</v>
      </c>
      <c r="E7" s="23" t="s">
        <v>172</v>
      </c>
    </row>
    <row r="8" spans="1:6" x14ac:dyDescent="0.25">
      <c r="A8" t="s">
        <v>173</v>
      </c>
      <c r="B8" s="33">
        <v>5.5E-2</v>
      </c>
      <c r="C8" s="189">
        <f>Assumptions!K49</f>
        <v>0.06</v>
      </c>
      <c r="D8" s="33">
        <v>7.0000000000000007E-2</v>
      </c>
      <c r="E8" s="23" t="s">
        <v>174</v>
      </c>
    </row>
    <row r="9" spans="1:6" x14ac:dyDescent="0.25">
      <c r="A9" t="s">
        <v>175</v>
      </c>
      <c r="B9" s="33">
        <v>0.18</v>
      </c>
      <c r="C9" s="189">
        <f>('Revenue Schedule'!J72/'Revenue Schedule'!F72)^(1/4)-1</f>
        <v>0.34445433837155459</v>
      </c>
      <c r="D9" s="33">
        <v>0.4</v>
      </c>
      <c r="E9" s="23" t="s">
        <v>176</v>
      </c>
    </row>
    <row r="10" spans="1:6" x14ac:dyDescent="0.25">
      <c r="A10" t="s">
        <v>177</v>
      </c>
      <c r="B10" s="33">
        <v>0.02</v>
      </c>
      <c r="C10" s="189">
        <f>Assumptions!K51</f>
        <v>0.05</v>
      </c>
      <c r="D10" s="33">
        <v>0.06</v>
      </c>
    </row>
    <row r="11" spans="1:6" x14ac:dyDescent="0.25">
      <c r="A11" t="s">
        <v>178</v>
      </c>
      <c r="B11" s="33">
        <v>0.1</v>
      </c>
      <c r="C11" s="189">
        <f>('Revenue Schedule'!J80/'Revenue Schedule'!F80)^(1/4)-1</f>
        <v>0.27764282619773351</v>
      </c>
      <c r="D11" s="33">
        <v>0.33</v>
      </c>
      <c r="E11" s="23" t="s">
        <v>179</v>
      </c>
    </row>
    <row r="12" spans="1:6" x14ac:dyDescent="0.25">
      <c r="A12" t="s">
        <v>180</v>
      </c>
      <c r="B12" s="33">
        <v>0.03</v>
      </c>
      <c r="C12" s="189">
        <f>Assumptions!K52</f>
        <v>0.05</v>
      </c>
      <c r="D12" s="33">
        <v>0.05</v>
      </c>
    </row>
    <row r="13" spans="1:6" x14ac:dyDescent="0.25">
      <c r="A13" t="s">
        <v>181</v>
      </c>
      <c r="B13" s="45">
        <v>-150</v>
      </c>
      <c r="C13" s="364">
        <f>Assumptions!K53</f>
        <v>-100</v>
      </c>
      <c r="D13" s="45">
        <v>0</v>
      </c>
    </row>
    <row r="14" spans="1:6" ht="36.75" x14ac:dyDescent="0.25">
      <c r="A14" t="s">
        <v>182</v>
      </c>
      <c r="B14" s="35">
        <v>10</v>
      </c>
      <c r="C14" s="405">
        <f>AVERAGE(B14,D14)</f>
        <v>15</v>
      </c>
      <c r="D14" s="35">
        <v>20</v>
      </c>
      <c r="E14" s="23" t="s">
        <v>1500</v>
      </c>
    </row>
    <row r="16" spans="1:6" x14ac:dyDescent="0.25">
      <c r="A16" s="8" t="s">
        <v>183</v>
      </c>
    </row>
    <row r="17" spans="1:4" x14ac:dyDescent="0.25">
      <c r="A17" t="s">
        <v>184</v>
      </c>
      <c r="B17" s="364">
        <f>'Revenue Schedule'!$F$56*(1+B5)^4</f>
        <v>161318.91555000003</v>
      </c>
      <c r="C17" s="364">
        <f>'Revenue Schedule'!$F$56*(1+C5)^4</f>
        <v>310465.34999999998</v>
      </c>
      <c r="D17" s="364">
        <f>'Revenue Schedule'!$F$56*(1+D5)^4</f>
        <v>405644.79279999994</v>
      </c>
    </row>
    <row r="18" spans="1:4" x14ac:dyDescent="0.25">
      <c r="A18" t="s">
        <v>185</v>
      </c>
      <c r="B18" s="371">
        <f>B17*B6</f>
        <v>4032.9728887500009</v>
      </c>
      <c r="C18" s="371">
        <f t="shared" ref="C18:D18" si="0">C17*C6</f>
        <v>10866.287249999999</v>
      </c>
      <c r="D18" s="371">
        <f t="shared" si="0"/>
        <v>24338.687567999994</v>
      </c>
    </row>
    <row r="19" spans="1:4" x14ac:dyDescent="0.25">
      <c r="B19" s="38"/>
      <c r="C19" s="38"/>
      <c r="D19" s="38"/>
    </row>
    <row r="20" spans="1:4" x14ac:dyDescent="0.25">
      <c r="A20" t="s">
        <v>186</v>
      </c>
      <c r="B20" s="364">
        <f>'Revenue Schedule'!$F$42*(1+B7)^4</f>
        <v>59782.721044480015</v>
      </c>
      <c r="C20" s="364">
        <f>'Revenue Schedule'!$F$42*(1+C7)^4</f>
        <v>74745.919999999969</v>
      </c>
      <c r="D20" s="364">
        <f>'Revenue Schedule'!$F$42*(1+D7)^4</f>
        <v>84167.205938079991</v>
      </c>
    </row>
    <row r="21" spans="1:4" x14ac:dyDescent="0.25">
      <c r="A21" t="s">
        <v>187</v>
      </c>
      <c r="B21" s="371">
        <f>B20*B8</f>
        <v>3288.0496574464009</v>
      </c>
      <c r="C21" s="371">
        <f t="shared" ref="C21:D21" si="1">C20*C8</f>
        <v>4484.7551999999978</v>
      </c>
      <c r="D21" s="371">
        <f t="shared" si="1"/>
        <v>5891.7044156656002</v>
      </c>
    </row>
    <row r="22" spans="1:4" x14ac:dyDescent="0.25">
      <c r="B22" s="38"/>
      <c r="C22" s="38"/>
      <c r="D22" s="38"/>
    </row>
    <row r="23" spans="1:4" x14ac:dyDescent="0.25">
      <c r="A23" t="s">
        <v>188</v>
      </c>
      <c r="B23" s="364">
        <f>'Revenue Schedule'!$F$72*(1+B9)^4</f>
        <v>18222.572166239996</v>
      </c>
      <c r="C23" s="364">
        <f>'Revenue Schedule'!$F$72*(1+C9)^4</f>
        <v>30709.014335999993</v>
      </c>
      <c r="D23" s="364">
        <f>'Revenue Schedule'!$F$72*(1+D9)^4</f>
        <v>36107.198399999987</v>
      </c>
    </row>
    <row r="24" spans="1:4" x14ac:dyDescent="0.25">
      <c r="A24" t="s">
        <v>189</v>
      </c>
      <c r="B24" s="371">
        <f>B23*B10</f>
        <v>364.45144332479992</v>
      </c>
      <c r="C24" s="371">
        <f t="shared" ref="C24:D24" si="2">C23*C10</f>
        <v>1535.4507167999998</v>
      </c>
      <c r="D24" s="371">
        <f t="shared" si="2"/>
        <v>2166.4319039999991</v>
      </c>
    </row>
    <row r="25" spans="1:4" x14ac:dyDescent="0.25">
      <c r="B25" s="38"/>
      <c r="C25" s="38"/>
      <c r="D25" s="38"/>
    </row>
    <row r="26" spans="1:4" x14ac:dyDescent="0.25">
      <c r="A26" t="s">
        <v>190</v>
      </c>
      <c r="B26" s="364">
        <f>'Revenue Schedule'!$F$80*(1+B11)^4</f>
        <v>7856.3606000000018</v>
      </c>
      <c r="C26" s="364">
        <f>'Revenue Schedule'!$F$80*(1+C11)^4</f>
        <v>14298.435199999996</v>
      </c>
      <c r="D26" s="364">
        <f>'Revenue Schedule'!$F$80*(1+D11)^4</f>
        <v>16790.252688860004</v>
      </c>
    </row>
    <row r="27" spans="1:4" x14ac:dyDescent="0.25">
      <c r="A27" t="s">
        <v>191</v>
      </c>
      <c r="B27" s="371">
        <f>B26*B12</f>
        <v>235.69081800000004</v>
      </c>
      <c r="C27" s="371">
        <f t="shared" ref="C27:D27" si="3">C26*C12</f>
        <v>714.92175999999984</v>
      </c>
      <c r="D27" s="371">
        <f t="shared" si="3"/>
        <v>839.51263444300025</v>
      </c>
    </row>
    <row r="28" spans="1:4" x14ac:dyDescent="0.25">
      <c r="B28" s="38"/>
      <c r="C28" s="38"/>
      <c r="D28" s="38"/>
    </row>
    <row r="29" spans="1:4" x14ac:dyDescent="0.25">
      <c r="A29" t="s">
        <v>192</v>
      </c>
      <c r="B29" s="371">
        <f>B13</f>
        <v>-150</v>
      </c>
      <c r="C29" s="371">
        <f t="shared" ref="C29:D29" si="4">C13</f>
        <v>-100</v>
      </c>
      <c r="D29" s="371">
        <f t="shared" si="4"/>
        <v>0</v>
      </c>
    </row>
    <row r="30" spans="1:4" x14ac:dyDescent="0.25">
      <c r="A30" s="3" t="s">
        <v>193</v>
      </c>
      <c r="B30" s="366">
        <f>B18+B21+B24+B27+B29</f>
        <v>7771.1648075212015</v>
      </c>
      <c r="C30" s="366">
        <f t="shared" ref="C30:D30" si="5">C18+C21+C24+C27+C29</f>
        <v>17501.414926799996</v>
      </c>
      <c r="D30" s="366">
        <f t="shared" si="5"/>
        <v>33236.336522108599</v>
      </c>
    </row>
    <row r="31" spans="1:4" x14ac:dyDescent="0.25">
      <c r="A31" t="s">
        <v>194</v>
      </c>
      <c r="B31" s="371">
        <f>B30*B14</f>
        <v>77711.648075212011</v>
      </c>
      <c r="C31" s="371">
        <f t="shared" ref="C31:D31" si="6">C30*C14</f>
        <v>262521.22390199994</v>
      </c>
      <c r="D31" s="371">
        <f t="shared" si="6"/>
        <v>664726.73044217192</v>
      </c>
    </row>
    <row r="32" spans="1:4" x14ac:dyDescent="0.25">
      <c r="A32" t="s">
        <v>1050</v>
      </c>
      <c r="B32" s="364">
        <f>B31/(1+DCF!$B$3)^4</f>
        <v>44877.04589910162</v>
      </c>
      <c r="C32" s="364">
        <f>C31/(1+DCF!$B$3)^4</f>
        <v>151601.17313605492</v>
      </c>
      <c r="D32" s="364">
        <f>D31/(1+DCF!$B$3)^4</f>
        <v>383867.44756129297</v>
      </c>
    </row>
    <row r="33" spans="1:4" x14ac:dyDescent="0.25">
      <c r="A33" t="s">
        <v>1051</v>
      </c>
      <c r="B33" s="364">
        <f>Assumptions!$B$143</f>
        <v>17972</v>
      </c>
      <c r="C33" s="364">
        <f>Assumptions!$B$143</f>
        <v>17972</v>
      </c>
      <c r="D33" s="364">
        <f>Assumptions!$B$143</f>
        <v>17972</v>
      </c>
    </row>
    <row r="34" spans="1:4" x14ac:dyDescent="0.25">
      <c r="A34" t="s">
        <v>1004</v>
      </c>
      <c r="B34" s="406">
        <f>B32+B33</f>
        <v>62849.04589910162</v>
      </c>
      <c r="C34" s="406">
        <f>C32+C33</f>
        <v>169573.17313605492</v>
      </c>
      <c r="D34" s="406">
        <f>D32+D33</f>
        <v>401839.44756129297</v>
      </c>
    </row>
    <row r="35" spans="1:4" x14ac:dyDescent="0.25">
      <c r="A35" s="3" t="s">
        <v>1052</v>
      </c>
      <c r="B35" s="407">
        <f>B34/'Share Count &amp; Dilution'!$K$9</f>
        <v>66.223800408836865</v>
      </c>
      <c r="C35" s="407">
        <f>C34/'Share Count &amp; Dilution'!$K$9</f>
        <v>178.67860699880188</v>
      </c>
      <c r="D35" s="407">
        <f>D34/'Share Count &amp; Dilution'!$K$9</f>
        <v>423.41669616462269</v>
      </c>
    </row>
    <row r="36" spans="1:4" x14ac:dyDescent="0.25">
      <c r="A36" s="3" t="s">
        <v>195</v>
      </c>
      <c r="B36" s="408">
        <f>B35/Assumptions!$B$142-1</f>
        <v>-0.76432811242406806</v>
      </c>
      <c r="C36" s="408">
        <f>C35/Assumptions!$B$142-1</f>
        <v>-0.36413307117864102</v>
      </c>
      <c r="D36" s="408">
        <f>D35/Assumptions!$B$142-1</f>
        <v>0.50682098279225163</v>
      </c>
    </row>
    <row r="38" spans="1:4" x14ac:dyDescent="0.25">
      <c r="A38" s="57" t="s">
        <v>1053</v>
      </c>
      <c r="B38" s="197"/>
      <c r="C38" s="197"/>
      <c r="D38" s="197"/>
    </row>
    <row r="39" spans="1:4" x14ac:dyDescent="0.25">
      <c r="A39" t="s">
        <v>1054</v>
      </c>
      <c r="B39" s="201">
        <v>0.3</v>
      </c>
      <c r="C39" s="201">
        <v>0.45</v>
      </c>
      <c r="D39" s="201">
        <v>0.25</v>
      </c>
    </row>
    <row r="40" spans="1:4" x14ac:dyDescent="0.25">
      <c r="A40" t="s">
        <v>1055</v>
      </c>
      <c r="B40" s="80" t="str">
        <f>IF(ROUND(SUM(B39:D39),6)=1,"PASS","FAIL — sums to "&amp;TEXT(SUM(B39:D39),"0.0%"))</f>
        <v>PASS</v>
      </c>
    </row>
    <row r="41" spans="1:4" x14ac:dyDescent="0.25">
      <c r="A41" s="3" t="s">
        <v>1056</v>
      </c>
      <c r="B41" s="376">
        <f>SUMPRODUCT($B$35:$D$35,$B$39:$D$39)</f>
        <v>206.12668731326755</v>
      </c>
    </row>
    <row r="42" spans="1:4" x14ac:dyDescent="0.25">
      <c r="A42" s="3" t="s">
        <v>1057</v>
      </c>
      <c r="B42" s="408">
        <f>B41/Assumptions!$B$142-1</f>
        <v>-0.2664530700595461</v>
      </c>
    </row>
    <row r="43" spans="1:4" x14ac:dyDescent="0.25">
      <c r="A43" t="s">
        <v>1058</v>
      </c>
      <c r="B43" s="205">
        <f>(D35-Assumptions!$B$142)/(Assumptions!$B$142-B35)</f>
        <v>0.66309347327925416</v>
      </c>
    </row>
    <row r="45" spans="1:4" x14ac:dyDescent="0.25">
      <c r="A45" s="3" t="s">
        <v>1059</v>
      </c>
      <c r="B45" s="91" t="str">
        <f>IF(AND(D5&gt;C5,C5&gt;B5,D7&gt;C7,C7&gt;B7,D9&gt;C9,C9&gt;B9,D11&gt;C11,C11&gt;B11),"PASS","FAIL — a bull driver sits below base")</f>
        <v>PASS</v>
      </c>
    </row>
    <row r="46" spans="1:4" x14ac:dyDescent="0.25">
      <c r="A46" s="3" t="s">
        <v>1060</v>
      </c>
      <c r="B46" s="80" t="str">
        <f>IF(AND(D6&gt;C6,C6&gt;B6,D8&gt;C8,C8&gt;B8,D10&gt;C10,C10&gt;B10,D12&gt;=C12,C12&gt;B12),"PASS","FAIL — a bull margin sits below base")</f>
        <v>PASS</v>
      </c>
    </row>
    <row r="48" spans="1:4" x14ac:dyDescent="0.25">
      <c r="A48" s="3" t="s">
        <v>1445</v>
      </c>
      <c r="B48" s="80" t="str">
        <f>IF(AND(D14&gt;C14,C14&gt;B14),"PASS","FAIL — multiple ladder inverted")</f>
        <v>PASS</v>
      </c>
      <c r="C48" t="s">
        <v>1446</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8714-A551-44B6-A9DC-94B8CD746221}">
  <dimension ref="A1:C69"/>
  <sheetViews>
    <sheetView topLeftCell="A47" zoomScale="70" zoomScaleNormal="70" workbookViewId="0">
      <selection activeCell="A2" sqref="A2:XFD2"/>
    </sheetView>
  </sheetViews>
  <sheetFormatPr defaultRowHeight="15" x14ac:dyDescent="0.25"/>
  <cols>
    <col min="1" max="1" width="60" customWidth="1"/>
    <col min="2" max="2" width="20" customWidth="1"/>
    <col min="3" max="3" width="54.5703125" customWidth="1"/>
  </cols>
  <sheetData>
    <row r="1" spans="1:3" ht="18.75" x14ac:dyDescent="0.3">
      <c r="A1" s="202" t="s">
        <v>1061</v>
      </c>
    </row>
    <row r="3" spans="1:3" x14ac:dyDescent="0.25">
      <c r="A3" s="203" t="s">
        <v>1062</v>
      </c>
      <c r="B3" s="204"/>
      <c r="C3" s="204"/>
    </row>
    <row r="4" spans="1:3" x14ac:dyDescent="0.25">
      <c r="A4" t="s">
        <v>69</v>
      </c>
      <c r="B4" s="193">
        <f>Assumptions!B142</f>
        <v>281</v>
      </c>
    </row>
    <row r="5" spans="1:3" x14ac:dyDescent="0.25">
      <c r="A5" t="s">
        <v>1063</v>
      </c>
      <c r="B5" s="193">
        <f>Scenarios!B41</f>
        <v>206.12668731326755</v>
      </c>
    </row>
    <row r="6" spans="1:3" x14ac:dyDescent="0.25">
      <c r="A6" t="s">
        <v>1064</v>
      </c>
      <c r="B6" s="383">
        <f>B5/B4-1</f>
        <v>-0.2664530700595461</v>
      </c>
    </row>
    <row r="7" spans="1:3" x14ac:dyDescent="0.25">
      <c r="A7" t="s">
        <v>1065</v>
      </c>
      <c r="B7" s="66">
        <f>1-B4/B5</f>
        <v>-0.36323929551606948</v>
      </c>
    </row>
    <row r="8" spans="1:3" x14ac:dyDescent="0.25">
      <c r="A8" t="s">
        <v>1066</v>
      </c>
      <c r="B8" s="205">
        <f>Scenarios!B43</f>
        <v>0.66309347327925416</v>
      </c>
    </row>
    <row r="9" spans="1:3" ht="15.75" x14ac:dyDescent="0.25">
      <c r="A9" s="195" t="s">
        <v>1067</v>
      </c>
      <c r="B9" s="409" t="str">
        <f>IF(AND(B6&gt;=0.25,B8&gt;=2.5),"BUY — core position",IF(AND(B6&gt;=0.15,B8&gt;=2),"BUY — starter position",IF(B6&gt;=0,"HOLD / WATCHLIST — return does not compensate for risk","AVOID / SELL — negative expected return")))</f>
        <v>AVOID / SELL — negative expected return</v>
      </c>
    </row>
    <row r="11" spans="1:3" x14ac:dyDescent="0.25">
      <c r="A11" s="203" t="s">
        <v>1068</v>
      </c>
      <c r="B11" s="204"/>
      <c r="C11" s="204"/>
    </row>
    <row r="12" spans="1:3" x14ac:dyDescent="0.25">
      <c r="A12" t="s">
        <v>1069</v>
      </c>
      <c r="B12" s="193">
        <f>DCF!B32</f>
        <v>96.751812952935552</v>
      </c>
      <c r="C12" t="str">
        <f>"Terminal g "&amp;TEXT(DCF!B4,"0.0%")&amp;" vs Rf "&amp;TEXT(Assumptions!B134,"0.0%")&amp;": about "&amp;TEXT((1+DCF!B4)/(1+Assumptions!B145)-1,"0.0%")&amp;" real growth — positive, not a real decline (that needs g below inflation of "&amp;TEXT(Assumptions!B145,"0.0%")&amp;")."</f>
        <v>Terminal g 5.0% vs Rf 6.8%: about 0.5% real growth — positive, not a real decline (that needs g below inflation of 4.5%).</v>
      </c>
    </row>
    <row r="13" spans="1:3" x14ac:dyDescent="0.25">
      <c r="A13" t="s">
        <v>1070</v>
      </c>
      <c r="B13" s="193">
        <f>(DCF!B24+(DCF!K12*(1+Assumptions!$B$134)/(DCF!B3-Assumptions!$B$134))*DCF!K15+Assumptions!B143)/Assumptions!B141</f>
        <v>119.35165942616507</v>
      </c>
      <c r="C13" t="str">
        <f>"Terminal g set equal to Rf ("&amp;TEXT(Assumptions!B134,"0.0%")&amp;"), the upper bound used in this model."</f>
        <v>Terminal g set equal to Rf (6.8%), the upper bound used in this model.</v>
      </c>
    </row>
    <row r="14" spans="1:3" x14ac:dyDescent="0.25">
      <c r="A14" t="s">
        <v>1071</v>
      </c>
      <c r="B14" s="193">
        <f>SOTP!D17</f>
        <v>238.90426881334955</v>
      </c>
      <c r="C14" t="str">
        <f>"Independent SOTP at peer median "&amp;TEXT(Comparable!E30,"0.00")&amp;"x EV/NOV; implies "&amp;TEXT(DCF!B56,"0.0")&amp;"x FY2030E Adjusted EBITDA vs "&amp;TEXT(Reverse_DCF!B30,"0.0")&amp;"x the market pays. Gap to DCF "&amp;TEXT(SOTP!D25,"0")&amp;"/share."</f>
        <v>Independent SOTP at peer median 0.84x EV/NOV; implies 20.7x FY2030E Adjusted EBITDA vs 13.7x the market pays. Gap to DCF 142/share.</v>
      </c>
    </row>
    <row r="15" spans="1:3" x14ac:dyDescent="0.25">
      <c r="A15" t="s">
        <v>1072</v>
      </c>
      <c r="B15" s="193">
        <f>Scenarios!B35</f>
        <v>66.223800408836865</v>
      </c>
    </row>
    <row r="16" spans="1:3" x14ac:dyDescent="0.25">
      <c r="A16" t="s">
        <v>1073</v>
      </c>
      <c r="B16" s="193">
        <f>Scenarios!C35</f>
        <v>178.67860699880188</v>
      </c>
    </row>
    <row r="17" spans="1:3" x14ac:dyDescent="0.25">
      <c r="A17" t="s">
        <v>1074</v>
      </c>
      <c r="B17" s="193">
        <f>Scenarios!D35</f>
        <v>423.41669616462269</v>
      </c>
    </row>
    <row r="18" spans="1:3" x14ac:dyDescent="0.25">
      <c r="A18" s="3" t="s">
        <v>1075</v>
      </c>
      <c r="B18" s="382">
        <f>Scenarios!B41</f>
        <v>206.12668731326755</v>
      </c>
    </row>
    <row r="19" spans="1:3" x14ac:dyDescent="0.25">
      <c r="A19" s="3" t="s">
        <v>578</v>
      </c>
      <c r="B19" s="376">
        <f>B4</f>
        <v>281</v>
      </c>
    </row>
    <row r="20" spans="1:3" x14ac:dyDescent="0.25">
      <c r="A20" t="s">
        <v>1076</v>
      </c>
      <c r="B20" s="340">
        <f>B17/B15</f>
        <v>6.3937239112016018</v>
      </c>
      <c r="C20" t="str">
        <f>"Bull ÷ bear spread of "&amp;TEXT(B20,"0.0")&amp;"x: a wide-outcome, low-conviction name at the current price."</f>
        <v>Bull ÷ bear spread of 6.4x: a wide-outcome, low-conviction name at the current price.</v>
      </c>
    </row>
    <row r="22" spans="1:3" x14ac:dyDescent="0.25">
      <c r="A22" s="203" t="s">
        <v>1077</v>
      </c>
      <c r="B22" s="204"/>
      <c r="C22" s="204"/>
    </row>
    <row r="23" spans="1:3" x14ac:dyDescent="0.25">
      <c r="A23" t="s">
        <v>1078</v>
      </c>
      <c r="B23" s="190">
        <f>BS!K38</f>
        <v>-38174.657303700835</v>
      </c>
    </row>
    <row r="24" spans="1:3" x14ac:dyDescent="0.25">
      <c r="A24" t="s">
        <v>1079</v>
      </c>
      <c r="B24" s="136">
        <f>'Share Count &amp; Dilution'!K9</f>
        <v>949.04015642562058</v>
      </c>
    </row>
    <row r="25" spans="1:3" x14ac:dyDescent="0.25">
      <c r="A25" t="s">
        <v>1080</v>
      </c>
      <c r="B25" s="67">
        <f>((Scenarios!B31+$B$23)/$B$24/$B$4)^(1/4)-1</f>
        <v>-0.37948372659453078</v>
      </c>
    </row>
    <row r="26" spans="1:3" x14ac:dyDescent="0.25">
      <c r="A26" s="3" t="s">
        <v>1081</v>
      </c>
      <c r="B26" s="408">
        <f>((Scenarios!C31+$B$23)/$B$24/$B$4)^(1/4)-1</f>
        <v>-4.2294173378674249E-2</v>
      </c>
    </row>
    <row r="27" spans="1:3" x14ac:dyDescent="0.25">
      <c r="A27" t="s">
        <v>1082</v>
      </c>
      <c r="B27" s="67">
        <f>((Scenarios!D31+$B$23)/$B$24/$B$4)^(1/4)-1</f>
        <v>0.23805963863315593</v>
      </c>
    </row>
    <row r="28" spans="1:3" x14ac:dyDescent="0.25">
      <c r="A28" s="3" t="s">
        <v>1083</v>
      </c>
      <c r="B28" s="408">
        <f>B25*Scenarios!$B$39+B26*Scenarios!$C$39+B27*Scenarios!$D$39</f>
        <v>-7.3362586340473657E-2</v>
      </c>
    </row>
    <row r="29" spans="1:3" x14ac:dyDescent="0.25">
      <c r="A29" t="s">
        <v>1084</v>
      </c>
      <c r="B29" s="285">
        <f>Assumptions!B160</f>
        <v>0.18</v>
      </c>
    </row>
    <row r="30" spans="1:3" x14ac:dyDescent="0.25">
      <c r="A30" s="3" t="s">
        <v>1085</v>
      </c>
      <c r="B30" s="91" t="str">
        <f>IF(B28&gt;=B29,"YES","NO — short by "&amp;TEXT(B29-B28,"0.0%"))</f>
        <v>NO — short by 25.3%</v>
      </c>
    </row>
    <row r="32" spans="1:3" x14ac:dyDescent="0.25">
      <c r="A32" s="203" t="s">
        <v>1086</v>
      </c>
      <c r="B32" s="204"/>
      <c r="C32" s="204"/>
    </row>
    <row r="33" spans="1:3" x14ac:dyDescent="0.25">
      <c r="A33" t="s">
        <v>1087</v>
      </c>
      <c r="B33" s="198">
        <f>Reverse_DCF!B17</f>
        <v>0.11310590382699108</v>
      </c>
      <c r="C33" t="str">
        <f>"Against Rf "&amp;TEXT(Assumptions!B134,"0.0%")&amp;" and assumed nominal GDP "&amp;TEXT(Assumptions!B146,"0.0%")&amp;" (Assumptions!B146, unsourced)."</f>
        <v>Against Rf 6.8% and assumed nominal GDP 10.5% (Assumptions!B146, unsourced).</v>
      </c>
    </row>
    <row r="34" spans="1:3" x14ac:dyDescent="0.25">
      <c r="A34" t="s">
        <v>1088</v>
      </c>
      <c r="B34" s="198">
        <f>Reverse_DCF!B33</f>
        <v>9.6773804973056404E-2</v>
      </c>
      <c r="C34" t="str">
        <f>TEXT(DCF!B3-B34,"0.0%")&amp;" below the model WACC of "&amp;TEXT(DCF!B3,"0.0%")&amp;". Either the WACC inputs (placeholder beta) are too high or the market is too optimistic."</f>
        <v>5.0% below the model WACC of 14.7%. Either the WACC inputs (placeholder beta) are too high or the market is too optimistic.</v>
      </c>
    </row>
    <row r="35" spans="1:3" x14ac:dyDescent="0.25">
      <c r="A35" t="s">
        <v>1089</v>
      </c>
      <c r="B35" s="95">
        <f>Reverse_DCF!B26</f>
        <v>15.813709844595902</v>
      </c>
      <c r="C35" t="str">
        <f>"DCF implies "&amp;TEXT(DCF!B54,"0.0")&amp;"x on FY2034E; market "&amp;TEXT(B35,"0.0")&amp;"x."</f>
        <v>DCF implies 5.5x on FY2034E; market 15.8x.</v>
      </c>
    </row>
    <row r="36" spans="1:3" x14ac:dyDescent="0.25">
      <c r="A36" t="s">
        <v>1090</v>
      </c>
      <c r="B36" s="95">
        <f>Reverse_DCF!B30</f>
        <v>13.728432872708938</v>
      </c>
    </row>
    <row r="38" spans="1:3" x14ac:dyDescent="0.25">
      <c r="A38" s="203" t="s">
        <v>1091</v>
      </c>
      <c r="B38" s="204"/>
      <c r="C38" s="204"/>
    </row>
    <row r="39" spans="1:3" x14ac:dyDescent="0.25">
      <c r="A39" t="s">
        <v>1092</v>
      </c>
      <c r="B39" s="285">
        <f>Assumptions!B161</f>
        <v>0.05</v>
      </c>
    </row>
    <row r="40" spans="1:3" x14ac:dyDescent="0.25">
      <c r="A40" t="s">
        <v>1093</v>
      </c>
      <c r="B40" s="285">
        <f>Assumptions!B162</f>
        <v>0.02</v>
      </c>
    </row>
    <row r="41" spans="1:3" x14ac:dyDescent="0.25">
      <c r="A41" t="s">
        <v>1094</v>
      </c>
      <c r="B41" s="66">
        <f>1-B15/B4</f>
        <v>0.76432811242406806</v>
      </c>
    </row>
    <row r="42" spans="1:3" x14ac:dyDescent="0.25">
      <c r="A42" t="s">
        <v>1095</v>
      </c>
      <c r="B42" s="259">
        <f>MIN(B39,B40/B41)</f>
        <v>2.6166772718289745E-2</v>
      </c>
    </row>
    <row r="43" spans="1:3" x14ac:dyDescent="0.25">
      <c r="A43" s="3" t="s">
        <v>1096</v>
      </c>
      <c r="B43" s="410">
        <f>IF(B28&lt;B29,0,B42)</f>
        <v>0</v>
      </c>
      <c r="C43" t="str">
        <f>"Gated to zero while the probability-weighted IRR ("&amp;TEXT(B28,"0.0%")&amp;") is below the hurdle ("&amp;TEXT(B29,"0.0%")&amp;")."</f>
        <v>Gated to zero while the probability-weighted IRR (-7.3%) is below the hurdle (18.0%).</v>
      </c>
    </row>
    <row r="45" spans="1:3" x14ac:dyDescent="0.25">
      <c r="A45" s="203" t="s">
        <v>1097</v>
      </c>
      <c r="B45" s="203" t="s">
        <v>1098</v>
      </c>
      <c r="C45" s="203" t="s">
        <v>1099</v>
      </c>
    </row>
    <row r="46" spans="1:3" x14ac:dyDescent="0.25">
      <c r="A46" t="s">
        <v>1100</v>
      </c>
      <c r="B46" s="64">
        <f>Ratios!H19</f>
        <v>3343</v>
      </c>
      <c r="C46" t="str">
        <f>"FY2027E net adds "&amp;TEXT(Assumptions!H18,"#,##0")&amp;" (about "&amp;TEXT(Assumptions!H18/4,"#,##0")&amp;" a quarter). A slowdown is the earliest warning."</f>
        <v>FY2027E net adds 1,100 (about 275 a quarter). A slowdown is the earliest warning.</v>
      </c>
    </row>
    <row r="47" spans="1:3" x14ac:dyDescent="0.25">
      <c r="A47" t="s">
        <v>1101</v>
      </c>
      <c r="B47" s="64">
        <f>Ratios!H20</f>
        <v>1200</v>
      </c>
      <c r="C47" t="str">
        <f>"Ladder selector Assumptions!B19 = "&amp;Assumptions!B19&amp;"; FY26A "&amp;TEXT(Assumptions!G20,"#,##0")&amp;" to FY2027E "&amp;TEXT(Assumptions!H20,"#,##0")&amp;". Flat or falling while stores grow = cannibalisation."</f>
        <v>Ladder selector Assumptions!B19 = 1; FY26A 756 to FY2027E 1,200. Flat or falling while stores grow = cannibalisation.</v>
      </c>
    </row>
    <row r="48" spans="1:3" x14ac:dyDescent="0.25">
      <c r="A48" t="s">
        <v>1102</v>
      </c>
      <c r="B48" s="193">
        <f>Ratios!H21</f>
        <v>0.18296948848339814</v>
      </c>
      <c r="C48" t="str">
        <f>"Against "&amp;TEXT(Assumptions!H111,"0.0")&amp;" Cr capex per store; must compound toward maturity."</f>
        <v>Against 2.5 Cr capex per store; must compound toward maturity.</v>
      </c>
    </row>
    <row r="49" spans="1:3" x14ac:dyDescent="0.25">
      <c r="A49" t="s">
        <v>210</v>
      </c>
      <c r="B49" s="189">
        <f>Ratios!H22</f>
        <v>0.315</v>
      </c>
      <c r="C49" t="str">
        <f>"Model rises to "&amp;TEXT(Assumptions!O13,"0.0%")&amp;" by FY2034E. A fee cap stalls it."</f>
        <v>Model rises to 33.0% by FY2034E. A fee cap stalls it.</v>
      </c>
    </row>
    <row r="50" spans="1:3" x14ac:dyDescent="0.25">
      <c r="A50" t="s">
        <v>1103</v>
      </c>
      <c r="B50" s="189">
        <f>Ratios!H32</f>
        <v>-0.36968774037698066</v>
      </c>
      <c r="C50" t="str">
        <f>"FY2027E "&amp;TEXT(B50,"0%")&amp;"; FY2030E "&amp;TEXT(Ratios!K32,"0%")&amp;"."</f>
        <v>FY2027E -37%; FY2030E -2%.</v>
      </c>
    </row>
    <row r="51" spans="1:3" x14ac:dyDescent="0.25">
      <c r="A51" t="s">
        <v>998</v>
      </c>
      <c r="B51" s="67">
        <f>Ratios!H33</f>
        <v>-0.51682520727082859</v>
      </c>
      <c r="C51" t="str">
        <f>"Spread over WACC FY2030E "&amp;TEXT(Ratios!K33,"0%")&amp;"."</f>
        <v>Spread over WACC FY2030E -16%.</v>
      </c>
    </row>
    <row r="52" spans="1:3" x14ac:dyDescent="0.25">
      <c r="A52" t="s">
        <v>1104</v>
      </c>
      <c r="B52" s="190">
        <f>Ratios!H26</f>
        <v>5637.6314996277106</v>
      </c>
      <c r="C52" t="str">
        <f>"Forecast trough "&amp;TEXT(MIN(BS!H15:O15),"#,##0")&amp;" Cr in "&amp;INDEX(BS!H2:O2,MATCH(MIN(BS!H15:O15),BS!H15:O15,0))&amp;". Negative = an unmodelled funding need (Checks row 13)."</f>
        <v>Forecast trough -20,244 Cr in FY2030E. Negative = an unmodelled funding need (Checks row 13).</v>
      </c>
    </row>
    <row r="53" spans="1:3" x14ac:dyDescent="0.25">
      <c r="A53" t="s">
        <v>212</v>
      </c>
      <c r="B53" s="189">
        <f>Ratios!H25</f>
        <v>2.3981822965292544E-2</v>
      </c>
      <c r="C53" t="str">
        <f>"FY2034E "&amp;TEXT(Ratios!O25,"0.0%")&amp;". Higher capex intensity lowers terminal FCF."</f>
        <v>FY2034E 0.7%. Higher capex intensity lowers terminal FCF.</v>
      </c>
    </row>
    <row r="55" spans="1:3" x14ac:dyDescent="0.25">
      <c r="A55" s="203" t="s">
        <v>1105</v>
      </c>
      <c r="B55" s="203" t="s">
        <v>1106</v>
      </c>
      <c r="C55" s="203" t="s">
        <v>1107</v>
      </c>
    </row>
    <row r="56" spans="1:3" x14ac:dyDescent="0.25">
      <c r="A56" t="s">
        <v>1108</v>
      </c>
      <c r="B56" t="s">
        <v>1109</v>
      </c>
      <c r="C56" t="s">
        <v>1110</v>
      </c>
    </row>
    <row r="57" spans="1:3" x14ac:dyDescent="0.25">
      <c r="A57" t="s">
        <v>1111</v>
      </c>
      <c r="B57" t="s">
        <v>1109</v>
      </c>
      <c r="C57" t="str">
        <f>"Each 100bp on FY2027E food delivery NOV of "&amp;TEXT('Revenue Schedule'!G42,"#,##0")&amp;" Cr is about "&amp;TEXT('Revenue Schedule'!G42*0.01,"#,##0")&amp;" Cr of revenue."</f>
        <v>Each 100bp on FY2027E food delivery NOV of 44,995 Cr is about 450 Cr of revenue.</v>
      </c>
    </row>
    <row r="58" spans="1:3" x14ac:dyDescent="0.25">
      <c r="A58" t="s">
        <v>1112</v>
      </c>
      <c r="B58" t="s">
        <v>1113</v>
      </c>
      <c r="C58" t="s">
        <v>1114</v>
      </c>
    </row>
    <row r="59" spans="1:3" x14ac:dyDescent="0.25">
      <c r="A59" t="s">
        <v>1115</v>
      </c>
      <c r="B59" t="s">
        <v>1116</v>
      </c>
      <c r="C59" t="str">
        <f>"District is "&amp;TEXT(SOTP!E6,"0%")&amp;" of SOTP EV. Asset-light, so upside flows to EBITDA."</f>
        <v>District is 7% of SOTP EV. Asset-light, so upside flows to EBITDA.</v>
      </c>
    </row>
    <row r="60" spans="1:3" x14ac:dyDescent="0.25">
      <c r="A60" t="s">
        <v>1117</v>
      </c>
      <c r="B60" t="s">
        <v>1118</v>
      </c>
      <c r="C60" t="s">
        <v>1119</v>
      </c>
    </row>
    <row r="62" spans="1:3" x14ac:dyDescent="0.25">
      <c r="A62" s="206" t="s">
        <v>1120</v>
      </c>
      <c r="B62" s="206" t="s">
        <v>1121</v>
      </c>
      <c r="C62" s="206" t="s">
        <v>1122</v>
      </c>
    </row>
    <row r="63" spans="1:3" x14ac:dyDescent="0.25">
      <c r="A63" t="s">
        <v>1123</v>
      </c>
      <c r="B63" t="s">
        <v>1124</v>
      </c>
      <c r="C63" t="s">
        <v>1125</v>
      </c>
    </row>
    <row r="64" spans="1:3" x14ac:dyDescent="0.25">
      <c r="A64" t="s">
        <v>1126</v>
      </c>
      <c r="B64" t="s">
        <v>1124</v>
      </c>
      <c r="C64" t="s">
        <v>1127</v>
      </c>
    </row>
    <row r="65" spans="1:3" x14ac:dyDescent="0.25">
      <c r="A65" t="str">
        <f>"Terminal value is "&amp;TEXT(DCF!B37,"0%")&amp;" of DCF enterprise value"</f>
        <v>Terminal value is 118% of DCF enterprise value</v>
      </c>
      <c r="B65" t="s">
        <v>1128</v>
      </c>
      <c r="C65" t="s">
        <v>1607</v>
      </c>
    </row>
    <row r="66" spans="1:3" x14ac:dyDescent="0.25">
      <c r="A66" t="str">
        <f>"Dark-store throughput ("&amp;TEXT(Assumptions!G20,"#,##0")&amp;"k FY26A to "&amp;TEXT(Assumptions!O20,"#,##0")&amp;"k FY2034E NOV/store/day)"</f>
        <v>Dark-store throughput (756k FY26A to 1,450k FY2034E NOV/store/day)</v>
      </c>
      <c r="B66" t="s">
        <v>1128</v>
      </c>
      <c r="C66" t="s">
        <v>1608</v>
      </c>
    </row>
    <row r="67" spans="1:3" x14ac:dyDescent="0.25">
      <c r="A67" t="s">
        <v>1609</v>
      </c>
      <c r="B67" t="s">
        <v>1128</v>
      </c>
      <c r="C67" t="str">
        <f>"Comparable!E30 = "&amp;TEXT(Comparable!E30,"0.00")&amp;"x EV/NOV; Blinkit is "&amp;TEXT(SOTP!E5,"0%")&amp;" of SOTP EV."</f>
        <v>Comparable!E30 = 0.84x EV/NOV; Blinkit is 72% of SOTP EV.</v>
      </c>
    </row>
    <row r="68" spans="1:3" x14ac:dyDescent="0.25">
      <c r="A68" t="str">
        <f>"Hyperpure gross margin steps from "&amp;TEXT(Assumptions!G72,"0.0%")&amp;" to "&amp;TEXT(Assumptions!H72,"0.0%")&amp;" with no stated cause"</f>
        <v>Hyperpure gross margin steps from 5.1% to 12.0% with no stated cause</v>
      </c>
      <c r="B68" t="s">
        <v>1129</v>
      </c>
      <c r="C68" t="s">
        <v>1130</v>
      </c>
    </row>
    <row r="69" spans="1:3" x14ac:dyDescent="0.25">
      <c r="A69" t="s">
        <v>1610</v>
      </c>
      <c r="B69" t="s">
        <v>1129</v>
      </c>
      <c r="C69" t="s">
        <v>1611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B9F3A-1BAA-4CA3-9A15-E4B041049059}">
  <dimension ref="A1:B45"/>
  <sheetViews>
    <sheetView zoomScale="80" zoomScaleNormal="80" workbookViewId="0">
      <selection activeCell="B48" sqref="B48"/>
    </sheetView>
  </sheetViews>
  <sheetFormatPr defaultRowHeight="15" x14ac:dyDescent="0.25"/>
  <cols>
    <col min="1" max="1" width="45.42578125" customWidth="1"/>
    <col min="2" max="2" width="112.7109375" customWidth="1"/>
  </cols>
  <sheetData>
    <row r="1" spans="1:2" ht="18.75" x14ac:dyDescent="0.3">
      <c r="A1" s="202" t="s">
        <v>1158</v>
      </c>
    </row>
    <row r="2" spans="1:2" x14ac:dyDescent="0.25">
      <c r="A2" s="196" t="s">
        <v>1159</v>
      </c>
    </row>
    <row r="4" spans="1:2" x14ac:dyDescent="0.25">
      <c r="A4" s="203" t="s">
        <v>1067</v>
      </c>
      <c r="B4" s="204"/>
    </row>
    <row r="5" spans="1:2" x14ac:dyDescent="0.25">
      <c r="A5" t="s">
        <v>1160</v>
      </c>
      <c r="B5" s="199" t="str">
        <f>Dashboard!B9</f>
        <v>AVOID / SELL — negative expected return</v>
      </c>
    </row>
    <row r="6" spans="1:2" x14ac:dyDescent="0.25">
      <c r="A6" t="s">
        <v>1161</v>
      </c>
      <c r="B6" s="3" t="str">
        <f>"At "&amp;TEXT(Dashboard!B4,"#,##0")&amp;" the shares already discount a "&amp;TEXT(Reverse_DCF!B17,"0.0%")&amp;" perpetual growth rate. On a probability-weighted basis I get "&amp;TEXT(Dashboard!B18,"#,##0")&amp;", an expected return of "&amp;TEXT(Dashboard!B6,"0.0%")&amp;" and a 4-year IRR of "&amp;TEXT(Dashboard!B28,"0.0%")&amp;" against an "&amp;TEXT(Dashboard!B29,"0.0%")&amp;" hurdle. Great business, wrong price."</f>
        <v>At 281 the shares already discount a 11.3% perpetual growth rate. On a probability-weighted basis I get 206, an expected return of -26.6% and a 4-year IRR of -7.3% against an 18.0% hurdle. Great business, wrong price.</v>
      </c>
    </row>
    <row r="8" spans="1:2" x14ac:dyDescent="0.25">
      <c r="A8" s="203" t="s">
        <v>1162</v>
      </c>
      <c r="B8" s="204"/>
    </row>
    <row r="9" spans="1:2" x14ac:dyDescent="0.25">
      <c r="A9" t="s">
        <v>1163</v>
      </c>
      <c r="B9" t="s">
        <v>1164</v>
      </c>
    </row>
    <row r="11" spans="1:2" x14ac:dyDescent="0.25">
      <c r="A11" s="203" t="s">
        <v>1165</v>
      </c>
      <c r="B11" s="204"/>
    </row>
    <row r="12" spans="1:2" x14ac:dyDescent="0.25">
      <c r="A12" t="s">
        <v>1166</v>
      </c>
      <c r="B12" t="str">
        <f>"Two players hold effectively the whole market. Take rate rises from "&amp;TEXT(Assumptions!G13,"0.0%")&amp;" (FY26A) to "&amp;TEXT(Ratios!K22,"0.0%")&amp;" by FY2030E, so the segment converts scale into margin."</f>
        <v>Two players hold effectively the whole market. Take rate rises from 30.8% (FY26A) to 33.0% by FY2030E, so the segment converts scale into margin.</v>
      </c>
    </row>
    <row r="13" spans="1:2" x14ac:dyDescent="0.25">
      <c r="A13" t="s">
        <v>1167</v>
      </c>
      <c r="B13" t="str">
        <f>"Dark stores go from "&amp;TEXT(Assumptions!G16,"#,##0")&amp;" (FY26A) to "&amp;TEXT(Ratios!K19,"#,##0")&amp;" by FY2030E while NOV per store per day moves from "&amp;TEXT(Assumptions!G20,"#,##0")&amp;"k to "&amp;TEXT(Ratios!K20,"#,##0")&amp;"k (ladder "&amp;Assumptions!B19&amp;"). The FY27E throughput step has no disclosed bridge."</f>
        <v>Dark stores go from 2,243 (FY26A) to 7,243 by FY2030E while NOV per store per day moves from 756k to 1,300k (ladder 1). The FY27E throughput step has no disclosed bridge.</v>
      </c>
    </row>
    <row r="14" spans="1:2" x14ac:dyDescent="0.25">
      <c r="A14" t="s">
        <v>1168</v>
      </c>
      <c r="B14" t="str">
        <f>"ROIC crosses WACC in "&amp;Variant_View!C22&amp;", reaching "&amp;TEXT(Ratios!K32,"0.0%")&amp;" against a "&amp;TEXT(DCF!B3,"0.0%")&amp;" cost of capital. Before that, every rupee reinvested destroys value. The bull case is that the market has not priced the post-crossover compounding."</f>
        <v>ROIC crosses WACC in FY2032E, reaching -1.7% against a 14.7% cost of capital. Before that, every rupee reinvested destroys value. The bull case is that the market has not priced the post-crossover compounding.</v>
      </c>
    </row>
    <row r="16" spans="1:2" x14ac:dyDescent="0.25">
      <c r="A16" s="203" t="s">
        <v>1169</v>
      </c>
    </row>
    <row r="17" spans="1:2" x14ac:dyDescent="0.25">
      <c r="A17" t="s">
        <v>1170</v>
      </c>
      <c r="B17" t="str">
        <f>"Below the market on terminal growth ("&amp;TEXT(DCF!B4,"0.0%")&amp;" vs the "&amp;TEXT(Reverse_DCF!B17,"0.0%")&amp;" the price requires) and below on Blinkit steady-state margin. But ABOVE on the FY2030 exit multiple ("&amp;TEXT(DCF!B56,"0.0")&amp;"x vs "&amp;TEXT(Reverse_DCF!B30,"0.0")&amp;"x paid today)."</f>
        <v>Below the market on terminal growth (5.0% vs the 11.3% the price requires) and below on Blinkit steady-state margin. But ABOVE on the FY2030 exit multiple (20.7x vs 13.7x paid today).</v>
      </c>
    </row>
    <row r="18" spans="1:2" x14ac:dyDescent="0.25">
      <c r="A18" t="s">
        <v>1171</v>
      </c>
      <c r="B18" t="str">
        <f>"The differentiated work here is the ROIC path and the cost waterfall: with other expenses driven at "&amp;TEXT(Assumptions!H77,"0.0%")&amp;" of revenue in FY2027E, reported EBITDA is "&amp;TEXT(IS!H16,"#,##0")&amp;" Cr vs "&amp;TEXT(IS!H57,"#,##0")&amp;" Cr implied by segment guidance (IS row 59)."</f>
        <v>The differentiated work here is the ROIC path and the cost waterfall: with other expenses driven at 11.9% of revenue in FY2027E, reported EBITDA is -5,291 Cr vs 3,070 Cr implied by segment guidance (IS row 59).</v>
      </c>
    </row>
    <row r="20" spans="1:2" x14ac:dyDescent="0.25">
      <c r="A20" s="203" t="s">
        <v>1172</v>
      </c>
    </row>
    <row r="21" spans="1:2" x14ac:dyDescent="0.25">
      <c r="A21" t="s">
        <v>1173</v>
      </c>
      <c r="B21" t="str">
        <f>"Holding my WACC of "&amp;TEXT(DCF!B3,"0.0%")&amp;", the price requires "&amp;TEXT(Reverse_DCF!B17,"0.00%")&amp;" growth in perpetuity. Holding g at "&amp;TEXT(DCF!B4,"0.0%")&amp;", it implies a WACC of "&amp;TEXT(Reverse_DCF!B33,"0.00%")&amp;", or "&amp;TEXT(DCF!B3-Reverse_DCF!B33,"0.0%")&amp;" below mine."</f>
        <v>Holding my WACC of 14.7%, the price requires 11.31% growth in perpetuity. Holding g at 5.0%, it implies a WACC of 9.68%, or 5.0% below mine.</v>
      </c>
    </row>
    <row r="23" spans="1:2" x14ac:dyDescent="0.25">
      <c r="A23" s="203" t="s">
        <v>1174</v>
      </c>
    </row>
    <row r="24" spans="1:2" x14ac:dyDescent="0.25">
      <c r="A24" t="s">
        <v>1175</v>
      </c>
      <c r="B24" t="str">
        <f>TEXT(Dashboard!B15,"#,##0")&amp;"  /  "&amp;TEXT(Dashboard!B16,"#,##0")&amp;"  /  "&amp;TEXT(Dashboard!B17,"#,##0")&amp;"   (probabilities "&amp;TEXT(Scenarios!B39,"0%")&amp;" / "&amp;TEXT(Scenarios!C39,"0%")&amp;" / "&amp;TEXT(Scenarios!D39,"0%")&amp;")"</f>
        <v>66  /  179  /  423   (probabilities 30% / 45% / 25%)</v>
      </c>
    </row>
    <row r="25" spans="1:2" x14ac:dyDescent="0.25">
      <c r="A25" t="s">
        <v>1176</v>
      </c>
      <c r="B25" t="str">
        <f>TEXT(Dashboard!B12,"#,##0")&amp;" to "&amp;TEXT(Dashboard!B13,"#,##0")&amp;" — both well below the market price"</f>
        <v>97 to 119 — both well below the market price</v>
      </c>
    </row>
    <row r="26" spans="1:2" x14ac:dyDescent="0.25">
      <c r="A26" t="s">
        <v>1177</v>
      </c>
      <c r="B26" t="str">
        <f>TEXT(Dashboard!B18,"#,##0")&amp;", or "&amp;TEXT(Dashboard!B6,"+0.0%;(0.0%)")&amp;" against "&amp;TEXT(Dashboard!B4,"#,##0")&amp;". Reward-to-risk "&amp;TEXT(Dashboard!B8,"0.00")&amp;"x versus the 3.0x we require."</f>
        <v>206, or (26.6%) against 281. Reward-to-risk 0.66x versus the 3.0x we require.</v>
      </c>
    </row>
    <row r="28" spans="1:2" x14ac:dyDescent="0.25">
      <c r="A28" s="206" t="s">
        <v>1178</v>
      </c>
    </row>
    <row r="29" spans="1:2" x14ac:dyDescent="0.25">
      <c r="A29" t="s">
        <v>1179</v>
      </c>
      <c r="B29" t="s">
        <v>1612</v>
      </c>
    </row>
    <row r="30" spans="1:2" x14ac:dyDescent="0.25">
      <c r="A30" t="s">
        <v>1180</v>
      </c>
      <c r="B30" t="str">
        <f>"Blinkit segment margin failing to hold above breakeven once the store base passes "&amp;TEXT(Assumptions!I16,"#,##0")&amp;" (FY2028E model count)."</f>
        <v>Blinkit segment margin failing to hold above breakeven once the store base passes 4,543 (FY2028E model count).</v>
      </c>
    </row>
    <row r="31" spans="1:2" x14ac:dyDescent="0.25">
      <c r="A31" t="s">
        <v>1181</v>
      </c>
      <c r="B31" t="str">
        <f>"A competitor raising capital explicitly for discounting. The bear case ("&amp;TEXT(Scenarios!B35,"0")&amp;"/share) flexes growth and margin but not capital intensity, so a price war could be worse than shown."</f>
        <v>A competitor raising capital explicitly for discounting. The bear case (66/share) flexes growth and margin but not capital intensity, so a price war could be worse than shown.</v>
      </c>
    </row>
    <row r="32" spans="1:2" x14ac:dyDescent="0.25">
      <c r="A32" t="s">
        <v>1182</v>
      </c>
      <c r="B32" t="s">
        <v>1613</v>
      </c>
    </row>
    <row r="33" spans="1:2" x14ac:dyDescent="0.25">
      <c r="A33" t="s">
        <v>1183</v>
      </c>
      <c r="B33" t="str">
        <f>"Any equity raise. The model already shows forecast cash falling to "&amp;TEXT(MIN(BS!H15:O15),"#,##0")&amp;" Cr (no funding line), so a raise is a live risk, not a tail one."</f>
        <v>Any equity raise. The model already shows forecast cash falling to -20,244 Cr (no funding line), so a raise is a live risk, not a tail one.</v>
      </c>
    </row>
    <row r="35" spans="1:2" x14ac:dyDescent="0.25">
      <c r="A35" s="203" t="s">
        <v>1184</v>
      </c>
    </row>
    <row r="36" spans="1:2" x14ac:dyDescent="0.25">
      <c r="A36" t="s">
        <v>1185</v>
      </c>
      <c r="B36" t="s">
        <v>1186</v>
      </c>
    </row>
    <row r="37" spans="1:2" x14ac:dyDescent="0.25">
      <c r="A37" t="s">
        <v>1187</v>
      </c>
      <c r="B37" t="str">
        <f>"Quick commerce has weak switching costs and dark stores a funded competitor can replicate for the same "&amp;TEXT(Assumptions!H111,"0.0")&amp;" Cr per store."</f>
        <v>Quick commerce has weak switching costs and dark stores a funded competitor can replicate for the same 2.5 Cr per store.</v>
      </c>
    </row>
    <row r="39" spans="1:2" x14ac:dyDescent="0.25">
      <c r="A39" s="203" t="s">
        <v>1188</v>
      </c>
    </row>
    <row r="40" spans="1:2" x14ac:dyDescent="0.25">
      <c r="A40" t="s">
        <v>1189</v>
      </c>
      <c r="B40" t="str">
        <f>"Food delivery cash funds Blinkit stores at 2.5 Cr each. Group ROIC is "&amp;TEXT(Ratios!H32,"0.0%")&amp;" in FY2027E, rising to "&amp;TEXT(Ratios!K32,"0.0%")&amp;" by FY2030E. Until the crossover, reinvestment destroys value on the model's own arithmetic."</f>
        <v>Food delivery cash funds Blinkit stores at 2.5 Cr each. Group ROIC is -37.0% in FY2027E, rising to -1.7% by FY2030E. Until the crossover, reinvestment destroys value on the model's own arithmetic.</v>
      </c>
    </row>
    <row r="41" spans="1:2" x14ac:dyDescent="0.25">
      <c r="A41" t="s">
        <v>1190</v>
      </c>
      <c r="B41" t="str">
        <f>"If store returns are as good as OpMetrics implies ("&amp;TEXT(OpMetrics!C42,"0%")&amp;" post-tax), why is the roll-out paced at ~"&amp;TEXT(Assumptions!H18,"#,##0")&amp;" a year rather than accelerated using the "&amp;TEXT(Assumptions!B143,"#,##0")&amp;" Cr treasury?"</f>
        <v>If store returns are as good as OpMetrics implies (41% post-tax), why is the roll-out paced at ~1,100 a year rather than accelerated using the 17,972 Cr treasury?</v>
      </c>
    </row>
    <row r="43" spans="1:2" x14ac:dyDescent="0.25">
      <c r="A43" s="203" t="s">
        <v>1443</v>
      </c>
      <c r="B43" t="str">
        <f>"Including Ind AS 116 leases, the group moves from net cash of "&amp;TEXT(Assumptions!B143,"#,##0")&amp;" Cr today to NET DEBT of "&amp;TEXT(-Dashboard!B23,"#,##0")&amp;" Cr by FY2030E: treasury of "&amp;TEXT(CFS!K32,"#,##0")&amp;" Cr against lease liabilities of "&amp;TEXT(Lease_Schedule!K12,"#,##0")&amp;" Cr. The lease book compounds with the store estate faster than treasury does. The 'deeply net cash' framing is true today and not true by FY2030 on the model's own numbers, which is directly relevant to kill criterion 5 on external capital."</f>
        <v>Including Ind AS 116 leases, the group moves from net cash of 17,972 Cr today to NET DEBT of 38,175 Cr by FY2030E: treasury of -20,244 Cr against lease liabilities of 17,930 Cr. The lease book compounds with the store estate faster than treasury does. The 'deeply net cash' framing is true today and not true by FY2030 on the model's own numbers, which is directly relevant to kill criterion 5 on external capital.</v>
      </c>
    </row>
    <row r="44" spans="1:2" x14ac:dyDescent="0.25">
      <c r="A44" t="s">
        <v>1191</v>
      </c>
      <c r="B44" s="3" t="str">
        <f>TEXT(Dashboard!B43,"0.0%")&amp;" — gated to zero because the probability-weighted IRR of "&amp;TEXT(Dashboard!B28,"0.0%")&amp;" is below the "&amp;TEXT(Dashboard!B29,"0.0%")&amp;" hurdle. The bear case loses "&amp;TEXT(Dashboard!B41,"0.0%")&amp;", so a 2% fund loss limit would cap this at ~3.2% even if it qualified."</f>
        <v>0.0% — gated to zero because the probability-weighted IRR of -7.3% is below the 18.0% hurdle. The bear case loses 76.4%, so a 2% fund loss limit would cap this at ~3.2% even if it qualified.</v>
      </c>
    </row>
    <row r="45" spans="1:2" x14ac:dyDescent="0.25">
      <c r="A45" t="s">
        <v>1192</v>
      </c>
      <c r="B45" t="str">
        <f>"At "&amp;TEXT(Dashboard!B4,"0")&amp;" the expected value of "&amp;TEXT(Dashboard!B5,"0")&amp;" implies "&amp;TEXT(Dashboard!B6,"+0%;-0%")&amp;". The price at which expected return reaches +25% is "&amp;TEXT(Dashboard!B5/1.25,"0")&amp;". Alternatively a verified (lower) beta or a sourced throughput bridge would move the DCF ("&amp;TEXT(DCF!B32,"0")&amp;")."</f>
        <v>At 281 the expected value of 206 implies -27%. The price at which expected return reaches +25% is 165. Alternatively a verified (lower) beta or a sourced throughput bridge would move the DCF (97).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4360-4270-400B-B857-9A68B4AD7AAB}">
  <dimension ref="A1:E28"/>
  <sheetViews>
    <sheetView topLeftCell="A19" zoomScale="80" zoomScaleNormal="80" workbookViewId="0">
      <selection activeCell="A2" sqref="A2:XFD2"/>
    </sheetView>
  </sheetViews>
  <sheetFormatPr defaultRowHeight="15" x14ac:dyDescent="0.25"/>
  <cols>
    <col min="1" max="1" width="45.42578125" customWidth="1"/>
    <col min="2" max="3" width="19.140625" customWidth="1"/>
    <col min="4" max="4" width="16.42578125" customWidth="1"/>
    <col min="5" max="5" width="76.42578125" customWidth="1"/>
  </cols>
  <sheetData>
    <row r="1" spans="1:5" ht="18.75" x14ac:dyDescent="0.3">
      <c r="A1" s="202" t="s">
        <v>1131</v>
      </c>
    </row>
    <row r="3" spans="1:5" x14ac:dyDescent="0.25">
      <c r="A3" s="203" t="s">
        <v>197</v>
      </c>
      <c r="B3" s="207" t="s">
        <v>1132</v>
      </c>
      <c r="C3" s="207" t="s">
        <v>1133</v>
      </c>
      <c r="D3" s="207" t="s">
        <v>1134</v>
      </c>
      <c r="E3" s="207" t="s">
        <v>1135</v>
      </c>
    </row>
    <row r="4" spans="1:5" x14ac:dyDescent="0.25">
      <c r="A4" s="57" t="s">
        <v>1136</v>
      </c>
    </row>
    <row r="5" spans="1:5" x14ac:dyDescent="0.25">
      <c r="A5" t="s">
        <v>1137</v>
      </c>
      <c r="B5" s="198">
        <f>Reverse_DCF!B17</f>
        <v>0.11310590382699108</v>
      </c>
      <c r="C5" s="198">
        <f>DCF!B4</f>
        <v>0.05</v>
      </c>
      <c r="D5" s="209">
        <f>C5-B5</f>
        <v>-6.3105903826991078E-2</v>
      </c>
      <c r="E5" t="str">
        <f>"I am "&amp;TEXT(ABS(D5),"0.0%")&amp;" below the market. My "&amp;TEXT(C5,"0.0%")&amp;" is ~"&amp;TEXT((1+C5)/(1+Assumptions!B145)-1,"0.0%")&amp;" real (positive); the market needs "&amp;TEXT(B5,"0.0%")&amp;", above assumed nominal GDP "&amp;TEXT(Assumptions!B146,"0.0%")&amp;"."</f>
        <v>I am 6.3% below the market. My 5.0% is ~0.5% real (positive); the market needs 11.3%, above assumed nominal GDP 10.5%.</v>
      </c>
    </row>
    <row r="6" spans="1:5" x14ac:dyDescent="0.25">
      <c r="A6" t="s">
        <v>65</v>
      </c>
      <c r="B6" s="198">
        <f>Reverse_DCF!B33</f>
        <v>9.6773804973056404E-2</v>
      </c>
      <c r="C6" s="198">
        <f>DCF!B3</f>
        <v>0.14713746689384793</v>
      </c>
      <c r="D6" s="209">
        <f>C6-B6</f>
        <v>5.036366192079153E-2</v>
      </c>
      <c r="E6" t="str">
        <f>"Market discounts at ~"&amp;TEXT(B6,"0.0%")&amp;"; I use "&amp;TEXT(C6,"0.0%")&amp;" on a placeholder beta of "&amp;TEXT(Assumptions!B136,"0.00")&amp;" (MANUAL – OPEN)."</f>
        <v>Market discounts at ~9.7%; I use 14.7% on a placeholder beta of 1.15 (MANUAL – OPEN).</v>
      </c>
    </row>
    <row r="7" spans="1:5" x14ac:dyDescent="0.25">
      <c r="A7" t="s">
        <v>1138</v>
      </c>
      <c r="B7" s="95">
        <f>Reverse_DCF!B26</f>
        <v>15.813709844595902</v>
      </c>
      <c r="C7" s="95">
        <f>DCF!B54</f>
        <v>5.5402439563865604</v>
      </c>
      <c r="D7" s="210">
        <f>C7-B7</f>
        <v>-10.273465888209341</v>
      </c>
      <c r="E7" t="str">
        <f>"My DCF implies "&amp;TEXT(C7,"0.0")&amp;"x on FY2034E vs the market "&amp;TEXT(B7,"0.0")&amp;"x."</f>
        <v>My DCF implies 5.5x on FY2034E vs the market 15.8x.</v>
      </c>
    </row>
    <row r="8" spans="1:5" x14ac:dyDescent="0.25">
      <c r="A8" t="s">
        <v>1139</v>
      </c>
      <c r="B8" s="95">
        <f>Reverse_DCF!B30</f>
        <v>13.728432872708938</v>
      </c>
      <c r="C8" s="95">
        <f>DCF!B56</f>
        <v>20.65528982991637</v>
      </c>
      <c r="D8" s="210">
        <f>C8-B8</f>
        <v>6.9268569572074323</v>
      </c>
      <c r="E8" t="str">
        <f>"SOTP implies "&amp;TEXT(C8,"0.0")&amp;"x FY2030E Adjusted EBITDA vs the market "&amp;TEXT(B8,"0.0")&amp;"x."</f>
        <v>SOTP implies 20.7x FY2030E Adjusted EBITDA vs the market 13.7x.</v>
      </c>
    </row>
    <row r="9" spans="1:5" x14ac:dyDescent="0.25">
      <c r="A9" t="s">
        <v>1044</v>
      </c>
      <c r="B9" s="193">
        <f>Assumptions!B142</f>
        <v>281</v>
      </c>
      <c r="C9" s="193">
        <f>Dashboard!B18</f>
        <v>206.12668731326755</v>
      </c>
      <c r="D9" s="211">
        <f>C9/B9-1</f>
        <v>-0.2664530700595461</v>
      </c>
      <c r="E9" t="str">
        <f>"Expected return "&amp;TEXT(D9,"+0%;-0%")&amp;" with a "&amp;TEXT(Dashboard!B20,"0.0")&amp;"x bear-to-bull spread."</f>
        <v>Expected return -27% with a 6.4x bear-to-bull spread.</v>
      </c>
    </row>
    <row r="10" spans="1:5" x14ac:dyDescent="0.25">
      <c r="D10" s="3"/>
    </row>
    <row r="11" spans="1:5" x14ac:dyDescent="0.25">
      <c r="A11" s="57" t="s">
        <v>1442</v>
      </c>
      <c r="D11" s="3"/>
    </row>
    <row r="12" spans="1:5" x14ac:dyDescent="0.25">
      <c r="A12" t="s">
        <v>167</v>
      </c>
      <c r="C12" s="189">
        <f>Scenarios!C5</f>
        <v>0.59006811633829703</v>
      </c>
      <c r="D12" s="3"/>
      <c r="E12" t="str">
        <f>"Blinkit NOV CAGR "&amp;TEXT(C12,"0.0%")&amp;" FY26A–FY30E — the number the thesis rests on."</f>
        <v>Blinkit NOV CAGR 59.0% FY26A–FY30E — the number the thesis rests on.</v>
      </c>
    </row>
    <row r="13" spans="1:5" x14ac:dyDescent="0.25">
      <c r="A13" t="s">
        <v>1140</v>
      </c>
      <c r="C13" s="64">
        <f>Ratios!K19</f>
        <v>7243</v>
      </c>
      <c r="D13" s="3"/>
      <c r="E13" t="str">
        <f>"From "&amp;TEXT(Assumptions!G16,"#,##0")&amp;" at FY26A; net adds "&amp;TEXT(Assumptions!H18,"#,##0")&amp;"–"&amp;TEXT(Assumptions!K18,"#,##0")&amp;" a year to FY2030E."</f>
        <v>From 2,243 at FY26A; net adds 1,100–1,400 a year to FY2030E.</v>
      </c>
    </row>
    <row r="14" spans="1:5" x14ac:dyDescent="0.25">
      <c r="A14" t="s">
        <v>1141</v>
      </c>
      <c r="C14" s="64">
        <f>Ratios!K20</f>
        <v>1300</v>
      </c>
      <c r="D14" s="3"/>
      <c r="E14" t="str">
        <f>"Throughput "&amp;TEXT(Assumptions!G20,"#,##0")&amp;"k (FY26A) to "&amp;TEXT(C14,"#,##0")&amp;"k while stores multiply — boldest assumption; FY27E step unsourced."</f>
        <v>Throughput 756k (FY26A) to 1,300k while stores multiply — boldest assumption; FY27E step unsourced.</v>
      </c>
    </row>
    <row r="15" spans="1:5" x14ac:dyDescent="0.25">
      <c r="A15" t="s">
        <v>1142</v>
      </c>
      <c r="C15" s="189">
        <f>Scenarios!C6</f>
        <v>3.5000000000000003E-2</v>
      </c>
      <c r="D15" s="3"/>
      <c r="E15" t="str">
        <f>"Base "&amp;TEXT(C15,"0.0%")&amp;" vs guided 5–6% steady state (Data_Sources row 19)."</f>
        <v>Base 3.5% vs guided 5–6% steady state (Data_Sources row 19).</v>
      </c>
    </row>
    <row r="16" spans="1:5" x14ac:dyDescent="0.25">
      <c r="A16" t="s">
        <v>171</v>
      </c>
      <c r="C16" s="189">
        <f>Scenarios!C7</f>
        <v>0.18432521568200588</v>
      </c>
      <c r="D16" s="3"/>
      <c r="E16" t="str">
        <f>"Food delivery NOV CAGR "&amp;TEXT(C16,"0.0%")&amp;"."</f>
        <v>Food delivery NOV CAGR 18.4%.</v>
      </c>
    </row>
    <row r="17" spans="1:5" x14ac:dyDescent="0.25">
      <c r="A17" t="s">
        <v>1143</v>
      </c>
      <c r="C17" s="189">
        <f>Ratios!K22</f>
        <v>0.33</v>
      </c>
      <c r="D17" s="3"/>
      <c r="E17" t="str">
        <f>"Take rate "&amp;TEXT(C17,"0.0%")&amp;" by FY2030E vs "&amp;TEXT(Assumptions!G13,"0.0%")&amp;" FY26A."</f>
        <v>Take rate 33.0% by FY2030E vs 30.8% FY26A.</v>
      </c>
    </row>
    <row r="18" spans="1:5" x14ac:dyDescent="0.25">
      <c r="A18" t="s">
        <v>175</v>
      </c>
      <c r="C18" s="189">
        <f>Scenarios!C9</f>
        <v>0.34445433837155459</v>
      </c>
      <c r="D18" s="3"/>
      <c r="E18" t="str">
        <f>"District is "&amp;TEXT(SOTP!E6,"0%")&amp;" of SOTP EV — optionality, not thesis."</f>
        <v>District is 7% of SOTP EV — optionality, not thesis.</v>
      </c>
    </row>
    <row r="19" spans="1:5" x14ac:dyDescent="0.25">
      <c r="A19" t="s">
        <v>178</v>
      </c>
      <c r="C19" s="189">
        <f>Scenarios!C11</f>
        <v>0.27764282619773351</v>
      </c>
      <c r="D19" s="3"/>
      <c r="E19" t="str">
        <f>"Hyperpure gross margin steps from "&amp;TEXT(Assumptions!G72,"0.0%")&amp;" to "&amp;TEXT(Assumptions!H72,"0.0%")&amp;" with no stated cause; 40% growth held 8 years (MANUAL – OPEN)."</f>
        <v>Hyperpure gross margin steps from 5.1% to 12.0% with no stated cause; 40% growth held 8 years (MANUAL – OPEN).</v>
      </c>
    </row>
    <row r="20" spans="1:5" x14ac:dyDescent="0.25">
      <c r="A20" t="s">
        <v>1144</v>
      </c>
      <c r="C20" s="64">
        <f>IS!K48</f>
        <v>17501.4149268</v>
      </c>
      <c r="D20" s="3"/>
      <c r="E20" t="s">
        <v>1614</v>
      </c>
    </row>
    <row r="21" spans="1:5" x14ac:dyDescent="0.25">
      <c r="A21" t="s">
        <v>1145</v>
      </c>
      <c r="C21" s="189">
        <f>Ratios!K32</f>
        <v>-1.7483705978520479E-2</v>
      </c>
      <c r="D21" s="3"/>
      <c r="E21" t="str">
        <f>"ROIC "&amp;TEXT(C21,"0%")&amp;" in FY2030E against WACC "&amp;TEXT(DCF!B3,"0.0%")&amp;"."</f>
        <v>ROIC -2% in FY2030E against WACC 14.7%.</v>
      </c>
    </row>
    <row r="22" spans="1:5" x14ac:dyDescent="0.25">
      <c r="A22" t="s">
        <v>1146</v>
      </c>
      <c r="C22" s="208" t="str">
        <f>INDEX(Ratios!$D$2:$O$2,MATCH(TRUE,INDEX(ISNUMBER(Ratios!$D$33:$O$33)*(Ratios!$D$33:$O$33&gt;0)=1,0),0))</f>
        <v>FY2032E</v>
      </c>
      <c r="D22" s="3"/>
      <c r="E22" t="s">
        <v>1615</v>
      </c>
    </row>
    <row r="24" spans="1:5" x14ac:dyDescent="0.25">
      <c r="A24" s="57" t="s">
        <v>1147</v>
      </c>
    </row>
    <row r="25" spans="1:5" x14ac:dyDescent="0.25">
      <c r="A25" s="3" t="s">
        <v>1148</v>
      </c>
      <c r="B25" s="3" t="s">
        <v>1149</v>
      </c>
      <c r="E25" s="3" t="s">
        <v>1150</v>
      </c>
    </row>
    <row r="26" spans="1:5" x14ac:dyDescent="0.25">
      <c r="A26" t="s">
        <v>1151</v>
      </c>
      <c r="B26" t="s">
        <v>1152</v>
      </c>
      <c r="E26" t="str">
        <f>"A sustained print above the base "&amp;TEXT(Scenarios!C6,"0.0%")&amp;" of NOV would make the base too conservative."</f>
        <v>A sustained print above the base 3.5% of NOV would make the base too conservative.</v>
      </c>
    </row>
    <row r="27" spans="1:5" x14ac:dyDescent="0.25">
      <c r="A27" t="s">
        <v>1153</v>
      </c>
      <c r="B27" t="s">
        <v>1154</v>
      </c>
      <c r="E27" t="s">
        <v>1155</v>
      </c>
    </row>
    <row r="28" spans="1:5" x14ac:dyDescent="0.25">
      <c r="A28" t="s">
        <v>1156</v>
      </c>
      <c r="B28" t="s">
        <v>1157</v>
      </c>
      <c r="E28" t="str">
        <f>"Each 100bp of take rate on FY2027E food delivery NOV of "&amp;TEXT('Revenue Schedule'!G42,"#,##0")&amp;" Cr is ~"&amp;TEXT('Revenue Schedule'!G42*0.01,"#,##0")&amp;" Cr of revenue."</f>
        <v>Each 100bp of take rate on FY2027E food delivery NOV of 44,995 Cr is ~450 Cr of revenue.</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9578-DF6A-4148-9063-01864D1950B4}">
  <dimension ref="A1:E74"/>
  <sheetViews>
    <sheetView topLeftCell="A4" zoomScale="70" zoomScaleNormal="70" workbookViewId="0">
      <selection activeCell="A2" sqref="A2:XFD2"/>
    </sheetView>
  </sheetViews>
  <sheetFormatPr defaultRowHeight="15" x14ac:dyDescent="0.25"/>
  <cols>
    <col min="1" max="1" width="54.5703125" customWidth="1"/>
    <col min="2" max="3" width="17.28515625" customWidth="1"/>
    <col min="4" max="4" width="20.140625" customWidth="1"/>
    <col min="5" max="5" width="17.28515625" customWidth="1"/>
  </cols>
  <sheetData>
    <row r="1" spans="1:2" ht="17.25" x14ac:dyDescent="0.3">
      <c r="A1" s="250" t="s">
        <v>1018</v>
      </c>
    </row>
    <row r="3" spans="1:2" x14ac:dyDescent="0.25">
      <c r="A3" s="8" t="s">
        <v>1019</v>
      </c>
      <c r="B3" s="197"/>
    </row>
    <row r="4" spans="1:2" x14ac:dyDescent="0.25">
      <c r="A4" t="s">
        <v>69</v>
      </c>
      <c r="B4" s="190">
        <f>Assumptions!B142</f>
        <v>281</v>
      </c>
    </row>
    <row r="5" spans="1:2" x14ac:dyDescent="0.25">
      <c r="A5" t="s">
        <v>137</v>
      </c>
      <c r="B5" s="190">
        <f>Assumptions!B141</f>
        <v>919</v>
      </c>
    </row>
    <row r="6" spans="1:2" x14ac:dyDescent="0.25">
      <c r="A6" t="s">
        <v>214</v>
      </c>
      <c r="B6" s="151">
        <f>B4*B5</f>
        <v>258239</v>
      </c>
    </row>
    <row r="7" spans="1:2" x14ac:dyDescent="0.25">
      <c r="A7" t="s">
        <v>1020</v>
      </c>
      <c r="B7" s="190">
        <f>Assumptions!B143</f>
        <v>17972</v>
      </c>
    </row>
    <row r="8" spans="1:2" x14ac:dyDescent="0.25">
      <c r="A8" s="3" t="s">
        <v>1021</v>
      </c>
      <c r="B8" s="168">
        <f>B6-B7</f>
        <v>240267</v>
      </c>
    </row>
    <row r="10" spans="1:2" x14ac:dyDescent="0.25">
      <c r="A10" s="8" t="s">
        <v>1022</v>
      </c>
      <c r="B10" s="197"/>
    </row>
    <row r="11" spans="1:2" x14ac:dyDescent="0.25">
      <c r="A11" t="s">
        <v>1023</v>
      </c>
      <c r="B11" s="190">
        <f>DCF!B24</f>
        <v>-12637.489523532713</v>
      </c>
    </row>
    <row r="12" spans="1:2" x14ac:dyDescent="0.25">
      <c r="A12" t="s">
        <v>1024</v>
      </c>
      <c r="B12" s="151">
        <f>B8-B11</f>
        <v>252904.48952353271</v>
      </c>
    </row>
    <row r="13" spans="1:2" x14ac:dyDescent="0.25">
      <c r="A13" t="s">
        <v>1025</v>
      </c>
      <c r="B13" s="220">
        <f>DCF!K15</f>
        <v>0.33348498392213205</v>
      </c>
    </row>
    <row r="14" spans="1:2" x14ac:dyDescent="0.25">
      <c r="A14" t="s">
        <v>1026</v>
      </c>
      <c r="B14" s="151">
        <f>B12/B13</f>
        <v>758368.44750582625</v>
      </c>
    </row>
    <row r="15" spans="1:2" x14ac:dyDescent="0.25">
      <c r="A15" t="s">
        <v>1027</v>
      </c>
      <c r="B15" s="190">
        <f>DCF!K12</f>
        <v>23185.991162634455</v>
      </c>
    </row>
    <row r="16" spans="1:2" x14ac:dyDescent="0.25">
      <c r="A16" t="s">
        <v>1028</v>
      </c>
      <c r="B16" s="189">
        <f>DCF!B3</f>
        <v>0.14713746689384793</v>
      </c>
    </row>
    <row r="17" spans="1:2" x14ac:dyDescent="0.25">
      <c r="A17" s="3" t="s">
        <v>1029</v>
      </c>
      <c r="B17" s="410">
        <f>(B14*B16-B15)/(B14+B15)</f>
        <v>0.11310590382699108</v>
      </c>
    </row>
    <row r="18" spans="1:2" x14ac:dyDescent="0.25">
      <c r="A18" t="s">
        <v>1030</v>
      </c>
      <c r="B18" s="189">
        <f>DCF!B4</f>
        <v>0.05</v>
      </c>
    </row>
    <row r="19" spans="1:2" x14ac:dyDescent="0.25">
      <c r="A19" t="s">
        <v>1031</v>
      </c>
      <c r="B19" s="189">
        <f>Assumptions!$B$134</f>
        <v>6.8000000000000005E-2</v>
      </c>
    </row>
    <row r="20" spans="1:2" x14ac:dyDescent="0.25">
      <c r="A20" t="s">
        <v>1032</v>
      </c>
      <c r="B20" s="189">
        <f>Assumptions!B146</f>
        <v>0.105</v>
      </c>
    </row>
    <row r="21" spans="1:2" x14ac:dyDescent="0.25">
      <c r="A21" s="3" t="s">
        <v>1033</v>
      </c>
      <c r="B21" s="91" t="str">
        <f>IF(B17&gt;B20,"Market requires g ABOVE nominal GDP — not defensible in perpetuity",IF(B17&gt;B19,"Market requires g above Rf but below nominal GDP — demanding but arguable","Market requires g below Rf — undemanding"))</f>
        <v>Market requires g ABOVE nominal GDP — not defensible in perpetuity</v>
      </c>
    </row>
    <row r="23" spans="1:2" x14ac:dyDescent="0.25">
      <c r="A23" s="8" t="s">
        <v>1034</v>
      </c>
      <c r="B23" s="197"/>
    </row>
    <row r="24" spans="1:2" x14ac:dyDescent="0.25">
      <c r="A24" t="s">
        <v>1035</v>
      </c>
      <c r="B24" s="190">
        <f>IS!O39</f>
        <v>43083.403404232668</v>
      </c>
    </row>
    <row r="25" spans="1:2" x14ac:dyDescent="0.25">
      <c r="A25" t="s">
        <v>1036</v>
      </c>
      <c r="B25" s="151">
        <f>B14</f>
        <v>758368.44750582625</v>
      </c>
    </row>
    <row r="26" spans="1:2" x14ac:dyDescent="0.25">
      <c r="A26" s="3" t="s">
        <v>1037</v>
      </c>
      <c r="B26" s="411">
        <f>B25/(B24*(1+B17))</f>
        <v>15.813709844595902</v>
      </c>
    </row>
    <row r="27" spans="1:2" x14ac:dyDescent="0.25">
      <c r="A27" t="s">
        <v>1038</v>
      </c>
      <c r="B27" s="95">
        <f>DCF!B54</f>
        <v>5.5402439563865604</v>
      </c>
    </row>
    <row r="28" spans="1:2" x14ac:dyDescent="0.25">
      <c r="A28" t="s">
        <v>1039</v>
      </c>
      <c r="B28" s="95">
        <f>DCF!B55</f>
        <v>5.1710121850893227</v>
      </c>
    </row>
    <row r="29" spans="1:2" x14ac:dyDescent="0.25">
      <c r="A29" t="s">
        <v>1040</v>
      </c>
      <c r="B29" s="95">
        <f>DCF!B56</f>
        <v>20.65528982991637</v>
      </c>
    </row>
    <row r="30" spans="1:2" x14ac:dyDescent="0.25">
      <c r="A30" t="s">
        <v>1041</v>
      </c>
      <c r="B30" s="95">
        <f>B8/IS!K48</f>
        <v>13.728432872708938</v>
      </c>
    </row>
    <row r="32" spans="1:2" x14ac:dyDescent="0.25">
      <c r="A32" s="8" t="s">
        <v>1042</v>
      </c>
      <c r="B32" s="197"/>
    </row>
    <row r="33" spans="1:5" x14ac:dyDescent="0.25">
      <c r="A33" s="3" t="s">
        <v>1046</v>
      </c>
      <c r="B33" s="410">
        <f>INDEX($A$38:$A$74,$B$36-1)+(INDEX($E$38:$E$74,$B$36-1)/(INDEX($E$38:$E$74,$B$36-1)-INDEX($E$38:$E$74,$B$36)))*(INDEX($A$38:$A$74,$B$36)-INDEX($A$38:$A$74,$B$36-1))</f>
        <v>9.6773804973056404E-2</v>
      </c>
    </row>
    <row r="34" spans="1:5" x14ac:dyDescent="0.25">
      <c r="A34" t="s">
        <v>1047</v>
      </c>
      <c r="B34" s="189">
        <f>DCF!B3</f>
        <v>0.14713746689384793</v>
      </c>
    </row>
    <row r="35" spans="1:5" x14ac:dyDescent="0.25">
      <c r="A35" t="s">
        <v>1048</v>
      </c>
      <c r="B35" s="259">
        <f>B33-B34</f>
        <v>-5.036366192079153E-2</v>
      </c>
    </row>
    <row r="36" spans="1:5" x14ac:dyDescent="0.25">
      <c r="A36" t="s">
        <v>1049</v>
      </c>
      <c r="B36" s="412">
        <f>MATCH(TRUE,INDEX($E$38:$E$74&lt;0,0),0)</f>
        <v>12</v>
      </c>
    </row>
    <row r="37" spans="1:5" x14ac:dyDescent="0.25">
      <c r="A37" s="11" t="s">
        <v>1043</v>
      </c>
      <c r="B37" s="11" t="s">
        <v>134</v>
      </c>
      <c r="C37" s="11" t="s">
        <v>136</v>
      </c>
      <c r="D37" s="11" t="s">
        <v>1044</v>
      </c>
      <c r="E37" s="11" t="s">
        <v>1045</v>
      </c>
    </row>
    <row r="38" spans="1:5" x14ac:dyDescent="0.25">
      <c r="A38" s="31">
        <v>7.0000000000000007E-2</v>
      </c>
      <c r="B38" s="190">
        <f>SUMPRODUCT(DCF!$D$12:$K$12/(1+$A38)^DCF!$D$14:$K$14)+DCF!$K$12*(1+DCF!$B$4)/($A38-DCF!$B$4)/(1+$A38)^8</f>
        <v>703149.62687963119</v>
      </c>
      <c r="C38" s="190">
        <f>B38+Assumptions!$B$143</f>
        <v>721121.62687963119</v>
      </c>
      <c r="D38" s="311">
        <f>C38/Assumptions!$B$141</f>
        <v>784.68076918349425</v>
      </c>
      <c r="E38" s="174">
        <f>D38-$B$4</f>
        <v>503.68076918349425</v>
      </c>
    </row>
    <row r="39" spans="1:5" x14ac:dyDescent="0.25">
      <c r="A39" s="358">
        <f>A38+0.0025</f>
        <v>7.2500000000000009E-2</v>
      </c>
      <c r="B39" s="190">
        <f>SUMPRODUCT(DCF!$D$12:$K$12/(1+$A39)^DCF!$D$14:$K$14)+DCF!$K$12*(1+DCF!$B$4)/($A39-DCF!$B$4)/(1+$A39)^8</f>
        <v>612445.09622125491</v>
      </c>
      <c r="C39" s="190">
        <f>B39+Assumptions!$B$143</f>
        <v>630417.09622125491</v>
      </c>
      <c r="D39" s="311">
        <f>C39/Assumptions!$B$141</f>
        <v>685.98160633433611</v>
      </c>
      <c r="E39" s="174">
        <f t="shared" ref="E39:E74" si="0">D39-$B$4</f>
        <v>404.98160633433611</v>
      </c>
    </row>
    <row r="40" spans="1:5" x14ac:dyDescent="0.25">
      <c r="A40" s="358">
        <f t="shared" ref="A40:A74" si="1">A39+0.0025</f>
        <v>7.5000000000000011E-2</v>
      </c>
      <c r="B40" s="190">
        <f>SUMPRODUCT(DCF!$D$12:$K$12/(1+$A40)^DCF!$D$14:$K$14)+DCF!$K$12*(1+DCF!$B$4)/($A40-DCF!$B$4)/(1+$A40)^8</f>
        <v>540039.73863790173</v>
      </c>
      <c r="C40" s="190">
        <f>B40+Assumptions!$B$143</f>
        <v>558011.73863790173</v>
      </c>
      <c r="D40" s="311">
        <f>C40/Assumptions!$B$141</f>
        <v>607.1944925330813</v>
      </c>
      <c r="E40" s="174">
        <f t="shared" si="0"/>
        <v>326.1944925330813</v>
      </c>
    </row>
    <row r="41" spans="1:5" x14ac:dyDescent="0.25">
      <c r="A41" s="358">
        <f t="shared" si="1"/>
        <v>7.7500000000000013E-2</v>
      </c>
      <c r="B41" s="190">
        <f>SUMPRODUCT(DCF!$D$12:$K$12/(1+$A41)^DCF!$D$14:$K$14)+DCF!$K$12*(1+DCF!$B$4)/($A41-DCF!$B$4)/(1+$A41)^8</f>
        <v>480940.40848695883</v>
      </c>
      <c r="C41" s="190">
        <f>B41+Assumptions!$B$143</f>
        <v>498912.40848695883</v>
      </c>
      <c r="D41" s="311">
        <f>C41/Assumptions!$B$141</f>
        <v>542.88618986611402</v>
      </c>
      <c r="E41" s="174">
        <f t="shared" si="0"/>
        <v>261.88618986611402</v>
      </c>
    </row>
    <row r="42" spans="1:5" x14ac:dyDescent="0.25">
      <c r="A42" s="358">
        <f t="shared" si="1"/>
        <v>8.0000000000000016E-2</v>
      </c>
      <c r="B42" s="190">
        <f>SUMPRODUCT(DCF!$D$12:$K$12/(1+$A42)^DCF!$D$14:$K$14)+DCF!$K$12*(1+DCF!$B$4)/($A42-DCF!$B$4)/(1+$A42)^8</f>
        <v>431818.38695164747</v>
      </c>
      <c r="C42" s="190">
        <f>B42+Assumptions!$B$143</f>
        <v>449790.38695164747</v>
      </c>
      <c r="D42" s="311">
        <f>C42/Assumptions!$B$141</f>
        <v>489.43458863073715</v>
      </c>
      <c r="E42" s="174">
        <f t="shared" si="0"/>
        <v>208.43458863073715</v>
      </c>
    </row>
    <row r="43" spans="1:5" x14ac:dyDescent="0.25">
      <c r="A43" s="358">
        <f t="shared" si="1"/>
        <v>8.2500000000000018E-2</v>
      </c>
      <c r="B43" s="190">
        <f>SUMPRODUCT(DCF!$D$12:$K$12/(1+$A43)^DCF!$D$14:$K$14)+DCF!$K$12*(1+DCF!$B$4)/($A43-DCF!$B$4)/(1+$A43)^8</f>
        <v>390369.21694175235</v>
      </c>
      <c r="C43" s="190">
        <f>B43+Assumptions!$B$143</f>
        <v>408341.21694175235</v>
      </c>
      <c r="D43" s="311">
        <f>C43/Assumptions!$B$141</f>
        <v>444.33211854380016</v>
      </c>
      <c r="E43" s="174">
        <f t="shared" si="0"/>
        <v>163.33211854380016</v>
      </c>
    </row>
    <row r="44" spans="1:5" x14ac:dyDescent="0.25">
      <c r="A44" s="358">
        <f t="shared" si="1"/>
        <v>8.500000000000002E-2</v>
      </c>
      <c r="B44" s="190">
        <f>SUMPRODUCT(DCF!$D$12:$K$12/(1+$A44)^DCF!$D$14:$K$14)+DCF!$K$12*(1+DCF!$B$4)/($A44-DCF!$B$4)/(1+$A44)^8</f>
        <v>354946.89448725758</v>
      </c>
      <c r="C44" s="190">
        <f>B44+Assumptions!$B$143</f>
        <v>372918.89448725758</v>
      </c>
      <c r="D44" s="311">
        <f>C44/Assumptions!$B$141</f>
        <v>405.78769802748377</v>
      </c>
      <c r="E44" s="174">
        <f t="shared" si="0"/>
        <v>124.78769802748377</v>
      </c>
    </row>
    <row r="45" spans="1:5" x14ac:dyDescent="0.25">
      <c r="A45" s="358">
        <f t="shared" si="1"/>
        <v>8.7500000000000022E-2</v>
      </c>
      <c r="B45" s="190">
        <f>SUMPRODUCT(DCF!$D$12:$K$12/(1+$A45)^DCF!$D$14:$K$14)+DCF!$K$12*(1+DCF!$B$4)/($A45-DCF!$B$4)/(1+$A45)^8</f>
        <v>324344.38359429932</v>
      </c>
      <c r="C45" s="190">
        <f>B45+Assumptions!$B$143</f>
        <v>342316.38359429932</v>
      </c>
      <c r="D45" s="311">
        <f>C45/Assumptions!$B$141</f>
        <v>372.48790380228434</v>
      </c>
      <c r="E45" s="174">
        <f t="shared" si="0"/>
        <v>91.487903802284336</v>
      </c>
    </row>
    <row r="46" spans="1:5" x14ac:dyDescent="0.25">
      <c r="A46" s="358">
        <f t="shared" si="1"/>
        <v>9.0000000000000024E-2</v>
      </c>
      <c r="B46" s="190">
        <f>SUMPRODUCT(DCF!$D$12:$K$12/(1+$A46)^DCF!$D$14:$K$14)+DCF!$K$12*(1+DCF!$B$4)/($A46-DCF!$B$4)/(1+$A46)^8</f>
        <v>297656.4380481611</v>
      </c>
      <c r="C46" s="190">
        <f>B46+Assumptions!$B$143</f>
        <v>315628.4380481611</v>
      </c>
      <c r="D46" s="311">
        <f>C46/Assumptions!$B$141</f>
        <v>343.44770190224278</v>
      </c>
      <c r="E46" s="174">
        <f t="shared" si="0"/>
        <v>62.447701902242784</v>
      </c>
    </row>
    <row r="47" spans="1:5" x14ac:dyDescent="0.25">
      <c r="A47" s="358">
        <f t="shared" si="1"/>
        <v>9.2500000000000027E-2</v>
      </c>
      <c r="B47" s="190">
        <f>SUMPRODUCT(DCF!$D$12:$K$12/(1+$A47)^DCF!$D$14:$K$14)+DCF!$K$12*(1+DCF!$B$4)/($A47-DCF!$B$4)/(1+$A47)^8</f>
        <v>274190.83906701417</v>
      </c>
      <c r="C47" s="190">
        <f>B47+Assumptions!$B$143</f>
        <v>292162.83906701417</v>
      </c>
      <c r="D47" s="311">
        <f>C47/Assumptions!$B$141</f>
        <v>317.91386187923194</v>
      </c>
      <c r="E47" s="174">
        <f t="shared" si="0"/>
        <v>36.913861879231945</v>
      </c>
    </row>
    <row r="48" spans="1:5" x14ac:dyDescent="0.25">
      <c r="A48" s="358">
        <f t="shared" si="1"/>
        <v>9.5000000000000029E-2</v>
      </c>
      <c r="B48" s="190">
        <f>SUMPRODUCT(DCF!$D$12:$K$12/(1+$A48)^DCF!$D$14:$K$14)+DCF!$K$12*(1+DCF!$B$4)/($A48-DCF!$B$4)/(1+$A48)^8</f>
        <v>253409.2204195635</v>
      </c>
      <c r="C48" s="190">
        <f>B48+Assumptions!$B$143</f>
        <v>271381.22041956347</v>
      </c>
      <c r="D48" s="311">
        <f>C48/Assumptions!$B$141</f>
        <v>295.30056628897006</v>
      </c>
      <c r="E48" s="174">
        <f t="shared" si="0"/>
        <v>14.30056628897006</v>
      </c>
    </row>
    <row r="49" spans="1:5" x14ac:dyDescent="0.25">
      <c r="A49" s="358">
        <f t="shared" si="1"/>
        <v>9.7500000000000031E-2</v>
      </c>
      <c r="B49" s="190">
        <f>SUMPRODUCT(DCF!$D$12:$K$12/(1+$A49)^DCF!$D$14:$K$14)+DCF!$K$12*(1+DCF!$B$4)/($A49-DCF!$B$4)/(1+$A49)^8</f>
        <v>234886.58036162256</v>
      </c>
      <c r="C49" s="190">
        <f>B49+Assumptions!$B$143</f>
        <v>252858.58036162256</v>
      </c>
      <c r="D49" s="311">
        <f>C49/Assumptions!$B$141</f>
        <v>275.14535403876232</v>
      </c>
      <c r="E49" s="174">
        <f t="shared" si="0"/>
        <v>-5.8546459612376793</v>
      </c>
    </row>
    <row r="50" spans="1:5" x14ac:dyDescent="0.25">
      <c r="A50" s="358">
        <f t="shared" si="1"/>
        <v>0.10000000000000003</v>
      </c>
      <c r="B50" s="190">
        <f>SUMPRODUCT(DCF!$D$12:$K$12/(1+$A50)^DCF!$D$14:$K$14)+DCF!$K$12*(1+DCF!$B$4)/($A50-DCF!$B$4)/(1+$A50)^8</f>
        <v>218282.94000462603</v>
      </c>
      <c r="C50" s="190">
        <f>B50+Assumptions!$B$143</f>
        <v>236254.94000462603</v>
      </c>
      <c r="D50" s="311">
        <f>C50/Assumptions!$B$141</f>
        <v>257.07828074496848</v>
      </c>
      <c r="E50" s="174">
        <f t="shared" si="0"/>
        <v>-23.921719255031519</v>
      </c>
    </row>
    <row r="51" spans="1:5" x14ac:dyDescent="0.25">
      <c r="A51" s="358">
        <f t="shared" si="1"/>
        <v>0.10250000000000004</v>
      </c>
      <c r="B51" s="190">
        <f>SUMPRODUCT(DCF!$D$12:$K$12/(1+$A51)^DCF!$D$14:$K$14)+DCF!$K$12*(1+DCF!$B$4)/($A51-DCF!$B$4)/(1+$A51)^8</f>
        <v>203323.09930509771</v>
      </c>
      <c r="C51" s="190">
        <f>B51+Assumptions!$B$143</f>
        <v>221295.09930509771</v>
      </c>
      <c r="D51" s="311">
        <f>C51/Assumptions!$B$141</f>
        <v>240.79989042992133</v>
      </c>
      <c r="E51" s="174">
        <f t="shared" si="0"/>
        <v>-40.200109570078666</v>
      </c>
    </row>
    <row r="52" spans="1:5" x14ac:dyDescent="0.25">
      <c r="A52" s="358">
        <f t="shared" si="1"/>
        <v>0.10500000000000004</v>
      </c>
      <c r="B52" s="190">
        <f>SUMPRODUCT(DCF!$D$12:$K$12/(1+$A52)^DCF!$D$14:$K$14)+DCF!$K$12*(1+DCF!$B$4)/($A52-DCF!$B$4)/(1+$A52)^8</f>
        <v>189781.91415901299</v>
      </c>
      <c r="C52" s="190">
        <f>B52+Assumptions!$B$143</f>
        <v>207753.91415901299</v>
      </c>
      <c r="D52" s="311">
        <f>C52/Assumptions!$B$141</f>
        <v>226.06519494995973</v>
      </c>
      <c r="E52" s="174">
        <f t="shared" si="0"/>
        <v>-54.934805050040268</v>
      </c>
    </row>
    <row r="53" spans="1:5" x14ac:dyDescent="0.25">
      <c r="A53" s="358">
        <f t="shared" si="1"/>
        <v>0.10750000000000004</v>
      </c>
      <c r="B53" s="190">
        <f>SUMPRODUCT(DCF!$D$12:$K$12/(1+$A53)^DCF!$D$14:$K$14)+DCF!$K$12*(1+DCF!$B$4)/($A53-DCF!$B$4)/(1+$A53)^8</f>
        <v>177473.41426449126</v>
      </c>
      <c r="C53" s="190">
        <f>B53+Assumptions!$B$143</f>
        <v>195445.41426449126</v>
      </c>
      <c r="D53" s="311">
        <f>C53/Assumptions!$B$141</f>
        <v>212.67183271435394</v>
      </c>
      <c r="E53" s="174">
        <f t="shared" si="0"/>
        <v>-68.32816728564606</v>
      </c>
    </row>
    <row r="54" spans="1:5" x14ac:dyDescent="0.25">
      <c r="A54" s="358">
        <f t="shared" si="1"/>
        <v>0.11000000000000004</v>
      </c>
      <c r="B54" s="190">
        <f>SUMPRODUCT(DCF!$D$12:$K$12/(1+$A54)^DCF!$D$14:$K$14)+DCF!$K$12*(1+DCF!$B$4)/($A54-DCF!$B$4)/(1+$A54)^8</f>
        <v>166242.64152845647</v>
      </c>
      <c r="C54" s="190">
        <f>B54+Assumptions!$B$143</f>
        <v>184214.64152845647</v>
      </c>
      <c r="D54" s="311">
        <f>C54/Assumptions!$B$141</f>
        <v>200.45118773499073</v>
      </c>
      <c r="E54" s="174">
        <f t="shared" si="0"/>
        <v>-80.548812265009275</v>
      </c>
    </row>
    <row r="55" spans="1:5" x14ac:dyDescent="0.25">
      <c r="A55" s="358">
        <f t="shared" si="1"/>
        <v>0.11250000000000004</v>
      </c>
      <c r="B55" s="190">
        <f>SUMPRODUCT(DCF!$D$12:$K$12/(1+$A55)^DCF!$D$14:$K$14)+DCF!$K$12*(1+DCF!$B$4)/($A55-DCF!$B$4)/(1+$A55)^8</f>
        <v>155959.44726470919</v>
      </c>
      <c r="C55" s="190">
        <f>B55+Assumptions!$B$143</f>
        <v>173931.44726470919</v>
      </c>
      <c r="D55" s="311">
        <f>C55/Assumptions!$B$141</f>
        <v>189.26164011393817</v>
      </c>
      <c r="E55" s="174">
        <f t="shared" si="0"/>
        <v>-91.738359886061829</v>
      </c>
    </row>
    <row r="56" spans="1:5" x14ac:dyDescent="0.25">
      <c r="A56" s="358">
        <f t="shared" si="1"/>
        <v>0.11500000000000005</v>
      </c>
      <c r="B56" s="190">
        <f>SUMPRODUCT(DCF!$D$12:$K$12/(1+$A56)^DCF!$D$14:$K$14)+DCF!$K$12*(1+DCF!$B$4)/($A56-DCF!$B$4)/(1+$A56)^8</f>
        <v>146513.7208162531</v>
      </c>
      <c r="C56" s="190">
        <f>B56+Assumptions!$B$143</f>
        <v>164485.7208162531</v>
      </c>
      <c r="D56" s="311">
        <f>C56/Assumptions!$B$141</f>
        <v>178.98337411997073</v>
      </c>
      <c r="E56" s="174">
        <f t="shared" si="0"/>
        <v>-102.01662588002927</v>
      </c>
    </row>
    <row r="57" spans="1:5" x14ac:dyDescent="0.25">
      <c r="A57" s="358">
        <f t="shared" si="1"/>
        <v>0.11750000000000005</v>
      </c>
      <c r="B57" s="190">
        <f>SUMPRODUCT(DCF!$D$12:$K$12/(1+$A57)^DCF!$D$14:$K$14)+DCF!$K$12*(1+DCF!$B$4)/($A57-DCF!$B$4)/(1+$A57)^8</f>
        <v>137811.67849167369</v>
      </c>
      <c r="C57" s="190">
        <f>B57+Assumptions!$B$143</f>
        <v>155783.67849167369</v>
      </c>
      <c r="D57" s="311">
        <f>C57/Assumptions!$B$141</f>
        <v>169.51434003446539</v>
      </c>
      <c r="E57" s="174">
        <f t="shared" si="0"/>
        <v>-111.48565996553461</v>
      </c>
    </row>
    <row r="58" spans="1:5" x14ac:dyDescent="0.25">
      <c r="A58" s="358">
        <f t="shared" si="1"/>
        <v>0.12000000000000005</v>
      </c>
      <c r="B58" s="190">
        <f>SUMPRODUCT(DCF!$D$12:$K$12/(1+$A58)^DCF!$D$14:$K$14)+DCF!$K$12*(1+DCF!$B$4)/($A58-DCF!$B$4)/(1+$A58)^8</f>
        <v>129772.94773684959</v>
      </c>
      <c r="C58" s="190">
        <f>B58+Assumptions!$B$143</f>
        <v>147744.9477368496</v>
      </c>
      <c r="D58" s="311">
        <f>C58/Assumptions!$B$141</f>
        <v>160.76708132410184</v>
      </c>
      <c r="E58" s="174">
        <f t="shared" si="0"/>
        <v>-120.23291867589816</v>
      </c>
    </row>
    <row r="59" spans="1:5" x14ac:dyDescent="0.25">
      <c r="A59" s="358">
        <f t="shared" si="1"/>
        <v>0.12250000000000005</v>
      </c>
      <c r="B59" s="190">
        <f>SUMPRODUCT(DCF!$D$12:$K$12/(1+$A59)^DCF!$D$14:$K$14)+DCF!$K$12*(1+DCF!$B$4)/($A59-DCF!$B$4)/(1+$A59)^8</f>
        <v>122328.25458844838</v>
      </c>
      <c r="C59" s="190">
        <f>B59+Assumptions!$B$143</f>
        <v>140300.25458844838</v>
      </c>
      <c r="D59" s="311">
        <f>C59/Assumptions!$B$141</f>
        <v>152.66621826817016</v>
      </c>
      <c r="E59" s="174">
        <f t="shared" si="0"/>
        <v>-128.33378173182984</v>
      </c>
    </row>
    <row r="60" spans="1:5" x14ac:dyDescent="0.25">
      <c r="A60" s="358">
        <f t="shared" si="1"/>
        <v>0.12500000000000006</v>
      </c>
      <c r="B60" s="190">
        <f>SUMPRODUCT(DCF!$D$12:$K$12/(1+$A60)^DCF!$D$14:$K$14)+DCF!$K$12*(1+DCF!$B$4)/($A60-DCF!$B$4)/(1+$A60)^8</f>
        <v>115417.57364328341</v>
      </c>
      <c r="C60" s="190">
        <f>B60+Assumptions!$B$143</f>
        <v>133389.57364328339</v>
      </c>
      <c r="D60" s="311">
        <f>C60/Assumptions!$B$141</f>
        <v>145.14643486755537</v>
      </c>
      <c r="E60" s="174">
        <f t="shared" si="0"/>
        <v>-135.85356513244463</v>
      </c>
    </row>
    <row r="61" spans="1:5" x14ac:dyDescent="0.25">
      <c r="A61" s="358">
        <f t="shared" si="1"/>
        <v>0.12750000000000006</v>
      </c>
      <c r="B61" s="190">
        <f>SUMPRODUCT(DCF!$D$12:$K$12/(1+$A61)^DCF!$D$14:$K$14)+DCF!$K$12*(1+DCF!$B$4)/($A61-DCF!$B$4)/(1+$A61)^8</f>
        <v>108988.6361042918</v>
      </c>
      <c r="C61" s="190">
        <f>B61+Assumptions!$B$143</f>
        <v>126960.6361042918</v>
      </c>
      <c r="D61" s="311">
        <f>C61/Assumptions!$B$141</f>
        <v>138.15085539095952</v>
      </c>
      <c r="E61" s="174">
        <f t="shared" si="0"/>
        <v>-142.84914460904048</v>
      </c>
    </row>
    <row r="62" spans="1:5" x14ac:dyDescent="0.25">
      <c r="A62" s="358">
        <f t="shared" si="1"/>
        <v>0.13000000000000006</v>
      </c>
      <c r="B62" s="190">
        <f>SUMPRODUCT(DCF!$D$12:$K$12/(1+$A62)^DCF!$D$14:$K$14)+DCF!$K$12*(1+DCF!$B$4)/($A62-DCF!$B$4)/(1+$A62)^8</f>
        <v>102995.71757372044</v>
      </c>
      <c r="C62" s="190">
        <f>B62+Assumptions!$B$143</f>
        <v>120967.71757372044</v>
      </c>
      <c r="D62" s="311">
        <f>C62/Assumptions!$B$141</f>
        <v>131.62972532504944</v>
      </c>
      <c r="E62" s="174">
        <f t="shared" si="0"/>
        <v>-149.37027467495056</v>
      </c>
    </row>
    <row r="63" spans="1:5" x14ac:dyDescent="0.25">
      <c r="A63" s="358">
        <f t="shared" si="1"/>
        <v>0.13250000000000006</v>
      </c>
      <c r="B63" s="190">
        <f>SUMPRODUCT(DCF!$D$12:$K$12/(1+$A63)^DCF!$D$14:$K$14)+DCF!$K$12*(1+DCF!$B$4)/($A63-DCF!$B$4)/(1+$A63)^8</f>
        <v>97398.64625305096</v>
      </c>
      <c r="C63" s="190">
        <f>B63+Assumptions!$B$143</f>
        <v>115370.64625305096</v>
      </c>
      <c r="D63" s="311">
        <f>C63/Assumptions!$B$141</f>
        <v>125.53933215783564</v>
      </c>
      <c r="E63" s="174">
        <f t="shared" si="0"/>
        <v>-155.46066784216436</v>
      </c>
    </row>
    <row r="64" spans="1:5" x14ac:dyDescent="0.25">
      <c r="A64" s="358">
        <f t="shared" si="1"/>
        <v>0.13500000000000006</v>
      </c>
      <c r="B64" s="190">
        <f>SUMPRODUCT(DCF!$D$12:$K$12/(1+$A64)^DCF!$D$14:$K$14)+DCF!$K$12*(1+DCF!$B$4)/($A64-DCF!$B$4)/(1+$A64)^8</f>
        <v>92161.986171664525</v>
      </c>
      <c r="C64" s="190">
        <f>B64+Assumptions!$B$143</f>
        <v>110133.98617166452</v>
      </c>
      <c r="D64" s="311">
        <f>C64/Assumptions!$B$141</f>
        <v>119.84111661769806</v>
      </c>
      <c r="E64" s="174">
        <f t="shared" si="0"/>
        <v>-161.15888338230195</v>
      </c>
    </row>
    <row r="65" spans="1:5" x14ac:dyDescent="0.25">
      <c r="A65" s="358">
        <f t="shared" si="1"/>
        <v>0.13750000000000007</v>
      </c>
      <c r="B65" s="190">
        <f>SUMPRODUCT(DCF!$D$12:$K$12/(1+$A65)^DCF!$D$14:$K$14)+DCF!$K$12*(1+DCF!$B$4)/($A65-DCF!$B$4)/(1+$A65)^8</f>
        <v>87254.360438369549</v>
      </c>
      <c r="C65" s="190">
        <f>B65+Assumptions!$B$143</f>
        <v>105226.36043836955</v>
      </c>
      <c r="D65" s="311">
        <f>C65/Assumptions!$B$141</f>
        <v>114.5009362767895</v>
      </c>
      <c r="E65" s="174">
        <f t="shared" si="0"/>
        <v>-166.4990637232105</v>
      </c>
    </row>
    <row r="66" spans="1:5" x14ac:dyDescent="0.25">
      <c r="A66" s="358">
        <f t="shared" si="1"/>
        <v>0.14000000000000007</v>
      </c>
      <c r="B66" s="190">
        <f>SUMPRODUCT(DCF!$D$12:$K$12/(1+$A66)^DCF!$D$14:$K$14)+DCF!$K$12*(1+DCF!$B$4)/($A66-DCF!$B$4)/(1+$A66)^8</f>
        <v>82647.887288996906</v>
      </c>
      <c r="C66" s="190">
        <f>B66+Assumptions!$B$143</f>
        <v>100619.88728899691</v>
      </c>
      <c r="D66" s="311">
        <f>C66/Assumptions!$B$141</f>
        <v>109.48845189227085</v>
      </c>
      <c r="E66" s="174">
        <f t="shared" si="0"/>
        <v>-171.51154810772914</v>
      </c>
    </row>
    <row r="67" spans="1:5" x14ac:dyDescent="0.25">
      <c r="A67" s="358">
        <f t="shared" si="1"/>
        <v>0.14250000000000007</v>
      </c>
      <c r="B67" s="190">
        <f>SUMPRODUCT(DCF!$D$12:$K$12/(1+$A67)^DCF!$D$14:$K$14)+DCF!$K$12*(1+DCF!$B$4)/($A67-DCF!$B$4)/(1+$A67)^8</f>
        <v>78317.707590146892</v>
      </c>
      <c r="C67" s="190">
        <f>B67+Assumptions!$B$143</f>
        <v>96289.707590146892</v>
      </c>
      <c r="D67" s="311">
        <f>C67/Assumptions!$B$141</f>
        <v>104.77661326457769</v>
      </c>
      <c r="E67" s="174">
        <f t="shared" si="0"/>
        <v>-176.22338673542231</v>
      </c>
    </row>
    <row r="68" spans="1:5" x14ac:dyDescent="0.25">
      <c r="A68" s="358">
        <f t="shared" si="1"/>
        <v>0.14500000000000007</v>
      </c>
      <c r="B68" s="190">
        <f>SUMPRODUCT(DCF!$D$12:$K$12/(1+$A68)^DCF!$D$14:$K$14)+DCF!$K$12*(1+DCF!$B$4)/($A68-DCF!$B$4)/(1+$A68)^8</f>
        <v>74241.58695179304</v>
      </c>
      <c r="C68" s="190">
        <f>B68+Assumptions!$B$143</f>
        <v>92213.58695179304</v>
      </c>
      <c r="D68" s="311">
        <f>C68/Assumptions!$B$141</f>
        <v>100.34122628051473</v>
      </c>
      <c r="E68" s="174">
        <f t="shared" si="0"/>
        <v>-180.65877371948528</v>
      </c>
    </row>
    <row r="69" spans="1:5" x14ac:dyDescent="0.25">
      <c r="A69" s="358">
        <f t="shared" si="1"/>
        <v>0.14750000000000008</v>
      </c>
      <c r="B69" s="190">
        <f>SUMPRODUCT(DCF!$D$12:$K$12/(1+$A69)^DCF!$D$14:$K$14)+DCF!$K$12*(1+DCF!$B$4)/($A69-DCF!$B$4)/(1+$A69)^8</f>
        <v>70399.579057301802</v>
      </c>
      <c r="C69" s="190">
        <f>B69+Assumptions!$B$143</f>
        <v>88371.579057301802</v>
      </c>
      <c r="D69" s="311">
        <f>C69/Assumptions!$B$141</f>
        <v>96.160586569425249</v>
      </c>
      <c r="E69" s="174">
        <f t="shared" si="0"/>
        <v>-184.83941343057475</v>
      </c>
    </row>
    <row r="70" spans="1:5" x14ac:dyDescent="0.25">
      <c r="A70" s="358">
        <f t="shared" si="1"/>
        <v>0.15000000000000008</v>
      </c>
      <c r="B70" s="190">
        <f>SUMPRODUCT(DCF!$D$12:$K$12/(1+$A70)^DCF!$D$14:$K$14)+DCF!$K$12*(1+DCF!$B$4)/($A70-DCF!$B$4)/(1+$A70)^8</f>
        <v>66773.739497719667</v>
      </c>
      <c r="C70" s="190">
        <f>B70+Assumptions!$B$143</f>
        <v>84745.739497719667</v>
      </c>
      <c r="D70" s="311">
        <f>C70/Assumptions!$B$141</f>
        <v>92.215168115037727</v>
      </c>
      <c r="E70" s="174">
        <f t="shared" si="0"/>
        <v>-188.78483188496227</v>
      </c>
    </row>
    <row r="71" spans="1:5" x14ac:dyDescent="0.25">
      <c r="A71" s="358">
        <f t="shared" si="1"/>
        <v>0.15250000000000008</v>
      </c>
      <c r="B71" s="190">
        <f>SUMPRODUCT(DCF!$D$12:$K$12/(1+$A71)^DCF!$D$14:$K$14)+DCF!$K$12*(1+DCF!$B$4)/($A71-DCF!$B$4)/(1+$A71)^8</f>
        <v>63347.881487554623</v>
      </c>
      <c r="C71" s="190">
        <f>B71+Assumptions!$B$143</f>
        <v>81319.881487554623</v>
      </c>
      <c r="D71" s="311">
        <f>C71/Assumptions!$B$141</f>
        <v>88.487357440211781</v>
      </c>
      <c r="E71" s="174">
        <f t="shared" si="0"/>
        <v>-192.51264255978822</v>
      </c>
    </row>
    <row r="72" spans="1:5" x14ac:dyDescent="0.25">
      <c r="A72" s="358">
        <f t="shared" si="1"/>
        <v>0.15500000000000008</v>
      </c>
      <c r="B72" s="190">
        <f>SUMPRODUCT(DCF!$D$12:$K$12/(1+$A72)^DCF!$D$14:$K$14)+DCF!$K$12*(1+DCF!$B$4)/($A72-DCF!$B$4)/(1+$A72)^8</f>
        <v>60107.366481709782</v>
      </c>
      <c r="C72" s="190">
        <f>B72+Assumptions!$B$143</f>
        <v>78079.366481709789</v>
      </c>
      <c r="D72" s="311">
        <f>C72/Assumptions!$B$141</f>
        <v>84.961225768998688</v>
      </c>
      <c r="E72" s="174">
        <f t="shared" si="0"/>
        <v>-196.0387742310013</v>
      </c>
    </row>
    <row r="73" spans="1:5" x14ac:dyDescent="0.25">
      <c r="A73" s="358">
        <f t="shared" si="1"/>
        <v>0.15750000000000008</v>
      </c>
      <c r="B73" s="190">
        <f>SUMPRODUCT(DCF!$D$12:$K$12/(1+$A73)^DCF!$D$14:$K$14)+DCF!$K$12*(1+DCF!$B$4)/($A73-DCF!$B$4)/(1+$A73)^8</f>
        <v>57038.924011903269</v>
      </c>
      <c r="C73" s="190">
        <f>B73+Assumptions!$B$143</f>
        <v>75010.924011903262</v>
      </c>
      <c r="D73" s="311">
        <f>C73/Assumptions!$B$141</f>
        <v>81.622332983572647</v>
      </c>
      <c r="E73" s="174">
        <f t="shared" si="0"/>
        <v>-199.37766701642735</v>
      </c>
    </row>
    <row r="74" spans="1:5" x14ac:dyDescent="0.25">
      <c r="A74" s="358">
        <f t="shared" si="1"/>
        <v>0.16000000000000009</v>
      </c>
      <c r="B74" s="190">
        <f>SUMPRODUCT(DCF!$D$12:$K$12/(1+$A74)^DCF!$D$14:$K$14)+DCF!$K$12*(1+DCF!$B$4)/($A74-DCF!$B$4)/(1+$A74)^8</f>
        <v>54130.496093937625</v>
      </c>
      <c r="C74" s="190">
        <f>B74+Assumptions!$B$143</f>
        <v>72102.496093937632</v>
      </c>
      <c r="D74" s="311">
        <f>C74/Assumptions!$B$141</f>
        <v>78.457558317668813</v>
      </c>
      <c r="E74" s="174">
        <f t="shared" si="0"/>
        <v>-202.54244168233117</v>
      </c>
    </row>
  </sheetData>
  <conditionalFormatting sqref="D38:D74">
    <cfRule type="colorScale" priority="1">
      <colorScale>
        <cfvo type="min"/>
        <cfvo type="percentile" val="50"/>
        <cfvo type="max"/>
        <color rgb="FFF8696B"/>
        <color rgb="FFFFEB84"/>
        <color rgb="FF63BE7B"/>
      </colorScale>
    </cfRule>
  </conditionalFormatting>
  <conditionalFormatting sqref="E38:E74">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5CD7-C626-4555-9C80-7D0442CCD5B6}">
  <dimension ref="A1:H32"/>
  <sheetViews>
    <sheetView zoomScale="70" zoomScaleNormal="70" workbookViewId="0">
      <selection activeCell="A2" sqref="A2:XFD2"/>
    </sheetView>
  </sheetViews>
  <sheetFormatPr defaultRowHeight="15" x14ac:dyDescent="0.25"/>
  <cols>
    <col min="1" max="1" width="54.5703125" customWidth="1"/>
    <col min="2" max="6" width="20" customWidth="1"/>
    <col min="7" max="7" width="47.28515625" customWidth="1"/>
  </cols>
  <sheetData>
    <row r="1" spans="1:7" ht="18.75" x14ac:dyDescent="0.3">
      <c r="A1" s="5" t="s">
        <v>568</v>
      </c>
      <c r="G1" s="137"/>
    </row>
    <row r="3" spans="1:7" x14ac:dyDescent="0.25">
      <c r="A3" s="4" t="s">
        <v>197</v>
      </c>
      <c r="B3" s="241" t="s">
        <v>515</v>
      </c>
      <c r="C3" s="6" t="s">
        <v>518</v>
      </c>
      <c r="D3" s="6" t="s">
        <v>520</v>
      </c>
      <c r="E3" s="6" t="s">
        <v>523</v>
      </c>
      <c r="F3" s="6" t="s">
        <v>526</v>
      </c>
    </row>
    <row r="4" spans="1:7" x14ac:dyDescent="0.25">
      <c r="A4" t="s">
        <v>1423</v>
      </c>
      <c r="B4" s="242" t="s">
        <v>516</v>
      </c>
      <c r="C4" s="243" t="s">
        <v>516</v>
      </c>
      <c r="D4" s="243" t="s">
        <v>1438</v>
      </c>
      <c r="E4" s="243" t="s">
        <v>524</v>
      </c>
      <c r="F4" s="243" t="s">
        <v>1439</v>
      </c>
    </row>
    <row r="5" spans="1:7" x14ac:dyDescent="0.25">
      <c r="A5" t="s">
        <v>1424</v>
      </c>
      <c r="B5" s="413">
        <v>46082</v>
      </c>
      <c r="C5" s="414">
        <v>46082</v>
      </c>
      <c r="D5" s="414">
        <v>45992</v>
      </c>
      <c r="E5" s="414">
        <v>45992</v>
      </c>
      <c r="F5" s="414">
        <v>45992</v>
      </c>
    </row>
    <row r="6" spans="1:7" x14ac:dyDescent="0.25">
      <c r="A6" t="s">
        <v>569</v>
      </c>
      <c r="B6" s="242" t="s">
        <v>9</v>
      </c>
      <c r="C6" s="243" t="s">
        <v>9</v>
      </c>
      <c r="D6" s="243" t="s">
        <v>672</v>
      </c>
      <c r="E6" s="243" t="s">
        <v>673</v>
      </c>
      <c r="F6" s="243" t="s">
        <v>674</v>
      </c>
    </row>
    <row r="7" spans="1:7" x14ac:dyDescent="0.25">
      <c r="A7" s="8" t="s">
        <v>1425</v>
      </c>
      <c r="B7" s="242"/>
      <c r="C7" s="243"/>
      <c r="D7" s="243"/>
      <c r="E7" s="243"/>
      <c r="F7" s="243"/>
    </row>
    <row r="8" spans="1:7" x14ac:dyDescent="0.25">
      <c r="A8" s="8" t="s">
        <v>214</v>
      </c>
      <c r="B8" s="415">
        <v>258239</v>
      </c>
      <c r="C8" s="416">
        <v>79911</v>
      </c>
      <c r="D8" s="416">
        <v>73600</v>
      </c>
      <c r="E8" s="416">
        <v>12291</v>
      </c>
      <c r="F8" s="416">
        <v>408240</v>
      </c>
    </row>
    <row r="9" spans="1:7" x14ac:dyDescent="0.25">
      <c r="A9" t="s">
        <v>1426</v>
      </c>
      <c r="B9" s="417">
        <f>IFERROR(B8/B14,"n.m.")</f>
        <v>705.57103825136608</v>
      </c>
      <c r="C9" s="239" t="s">
        <v>1405</v>
      </c>
      <c r="D9" s="418">
        <f>IFERROR(D8/D14,"n.m.")</f>
        <v>78.716577540106954</v>
      </c>
      <c r="E9" s="239" t="s">
        <v>1405</v>
      </c>
      <c r="F9" s="239" t="s">
        <v>1405</v>
      </c>
    </row>
    <row r="10" spans="1:7" x14ac:dyDescent="0.25">
      <c r="A10" s="8" t="s">
        <v>1427</v>
      </c>
      <c r="B10" s="245"/>
      <c r="C10" s="246"/>
      <c r="D10" s="246"/>
      <c r="E10" s="246"/>
      <c r="F10" s="246"/>
    </row>
    <row r="11" spans="1:7" x14ac:dyDescent="0.25">
      <c r="A11" t="s">
        <v>1428</v>
      </c>
      <c r="B11" s="415">
        <v>55903</v>
      </c>
      <c r="C11" s="416">
        <v>24315</v>
      </c>
      <c r="D11" s="416">
        <v>13717</v>
      </c>
      <c r="E11" s="416">
        <v>14803.4</v>
      </c>
      <c r="F11" s="416">
        <v>364854.7</v>
      </c>
    </row>
    <row r="12" spans="1:7" x14ac:dyDescent="0.25">
      <c r="A12" t="s">
        <v>1429</v>
      </c>
      <c r="B12" s="415">
        <v>1189</v>
      </c>
      <c r="C12" s="416">
        <v>-2871</v>
      </c>
      <c r="D12" s="416">
        <v>2779</v>
      </c>
      <c r="E12" s="416">
        <v>903</v>
      </c>
      <c r="F12" s="416">
        <v>-13783.2</v>
      </c>
    </row>
    <row r="13" spans="1:7" x14ac:dyDescent="0.25">
      <c r="A13" t="s">
        <v>1430</v>
      </c>
      <c r="B13" s="419">
        <f>IFERROR(B12/B11,"n.d.")</f>
        <v>2.1268983775468223E-2</v>
      </c>
      <c r="C13" s="420">
        <f>IFERROR(C12/C11,"n.d.")</f>
        <v>-0.11807526218383714</v>
      </c>
      <c r="D13" s="420">
        <f>IFERROR(D12/D11,"n.d.")</f>
        <v>0.20259531967631406</v>
      </c>
      <c r="E13" s="420">
        <f>IFERROR(E12/E11,"n.d.")</f>
        <v>6.0999500114838484E-2</v>
      </c>
      <c r="F13" s="420">
        <f>IFERROR(F12/F11,"n.d.")</f>
        <v>-3.7777230223428666E-2</v>
      </c>
    </row>
    <row r="14" spans="1:7" x14ac:dyDescent="0.25">
      <c r="A14" s="8" t="s">
        <v>1431</v>
      </c>
      <c r="B14" s="415">
        <v>366</v>
      </c>
      <c r="C14" s="416">
        <v>-4154</v>
      </c>
      <c r="D14" s="416">
        <v>935</v>
      </c>
      <c r="E14" s="240" t="s">
        <v>1405</v>
      </c>
      <c r="F14" s="416">
        <v>-23354.2</v>
      </c>
    </row>
    <row r="15" spans="1:7" x14ac:dyDescent="0.25">
      <c r="A15" t="s">
        <v>1432</v>
      </c>
      <c r="B15" s="421">
        <v>1.59</v>
      </c>
      <c r="C15" s="422">
        <v>0.51</v>
      </c>
      <c r="D15" s="422">
        <v>0.28000000000000003</v>
      </c>
      <c r="E15" s="422">
        <v>0.16</v>
      </c>
      <c r="F15" s="422">
        <v>0.08</v>
      </c>
    </row>
    <row r="16" spans="1:7" x14ac:dyDescent="0.25">
      <c r="A16" s="8" t="s">
        <v>1433</v>
      </c>
      <c r="B16" s="415">
        <v>30973</v>
      </c>
      <c r="C16" s="416">
        <v>18314</v>
      </c>
      <c r="D16" s="416">
        <v>10033</v>
      </c>
      <c r="E16" s="240" t="s">
        <v>1405</v>
      </c>
      <c r="F16" s="416">
        <v>150987.9</v>
      </c>
    </row>
    <row r="17" spans="1:8" x14ac:dyDescent="0.25">
      <c r="A17" s="3"/>
      <c r="B17" s="244"/>
      <c r="C17" s="240"/>
      <c r="D17" s="240"/>
      <c r="E17" s="240"/>
      <c r="F17" s="240"/>
    </row>
    <row r="18" spans="1:8" x14ac:dyDescent="0.25">
      <c r="A18" s="8" t="s">
        <v>570</v>
      </c>
      <c r="B18" s="245"/>
      <c r="C18" s="247"/>
      <c r="D18" s="247"/>
      <c r="E18" s="247"/>
      <c r="F18" s="247"/>
    </row>
    <row r="19" spans="1:8" x14ac:dyDescent="0.25">
      <c r="A19" t="s">
        <v>1434</v>
      </c>
      <c r="B19" s="415">
        <v>241883</v>
      </c>
      <c r="C19" s="416">
        <v>67409</v>
      </c>
      <c r="D19" s="423">
        <f>D8-3053</f>
        <v>70547</v>
      </c>
      <c r="E19" s="240" t="s">
        <v>1405</v>
      </c>
      <c r="F19" s="423">
        <f>F8-80252</f>
        <v>327988</v>
      </c>
    </row>
    <row r="20" spans="1:8" x14ac:dyDescent="0.25">
      <c r="A20" t="s">
        <v>1435</v>
      </c>
      <c r="B20" s="417">
        <f>IFERROR(B19/B12,"n.m.")</f>
        <v>203.43397813288479</v>
      </c>
      <c r="C20" s="239" t="s">
        <v>1440</v>
      </c>
      <c r="D20" s="418">
        <f>IFERROR(D19/D12,"n.m.")</f>
        <v>25.385750269881253</v>
      </c>
      <c r="E20" s="239" t="s">
        <v>1405</v>
      </c>
      <c r="F20" s="239" t="s">
        <v>1441</v>
      </c>
    </row>
    <row r="21" spans="1:8" x14ac:dyDescent="0.25">
      <c r="A21" t="s">
        <v>1436</v>
      </c>
      <c r="B21" s="417">
        <f>IFERROR(B8/B11,"n.d.")</f>
        <v>4.619412196125432</v>
      </c>
      <c r="C21" s="418">
        <f>IFERROR(C8/C11,"n.d.")</f>
        <v>3.2864898210980877</v>
      </c>
      <c r="D21" s="418">
        <f>IFERROR(D8/D11,"n.d.")</f>
        <v>5.3656047240650286</v>
      </c>
      <c r="E21" s="418">
        <f>IFERROR(E8/E11,"n.d.")</f>
        <v>0.83028223246011057</v>
      </c>
      <c r="F21" s="418">
        <f>IFERROR(F8/F11,"n.d.")</f>
        <v>1.1189111720364298</v>
      </c>
    </row>
    <row r="22" spans="1:8" x14ac:dyDescent="0.25">
      <c r="A22" t="s">
        <v>1437</v>
      </c>
      <c r="B22" s="415">
        <v>95960</v>
      </c>
      <c r="C22" s="416">
        <v>67733</v>
      </c>
      <c r="D22" s="416">
        <v>102018</v>
      </c>
      <c r="E22" s="416">
        <v>49196.800000000003</v>
      </c>
      <c r="F22" s="240" t="s">
        <v>1405</v>
      </c>
    </row>
    <row r="24" spans="1:8" x14ac:dyDescent="0.25">
      <c r="A24" s="3" t="s">
        <v>1476</v>
      </c>
    </row>
    <row r="25" spans="1:8" x14ac:dyDescent="0.25">
      <c r="A25" s="3" t="s">
        <v>1477</v>
      </c>
      <c r="B25" s="3" t="s">
        <v>1478</v>
      </c>
      <c r="C25" s="3" t="s">
        <v>1479</v>
      </c>
      <c r="D25" s="3" t="s">
        <v>1480</v>
      </c>
      <c r="E25" s="3" t="s">
        <v>1481</v>
      </c>
      <c r="F25" s="3" t="s">
        <v>1435</v>
      </c>
      <c r="G25" s="3" t="s">
        <v>1482</v>
      </c>
      <c r="H25" s="3" t="s">
        <v>494</v>
      </c>
    </row>
    <row r="26" spans="1:8" x14ac:dyDescent="0.25">
      <c r="A26" t="s">
        <v>518</v>
      </c>
      <c r="B26" s="424" t="str">
        <f>C4</f>
        <v>India</v>
      </c>
      <c r="C26" s="331">
        <f>IF(ISNUMBER(C19),C19,"n.a.")</f>
        <v>67409</v>
      </c>
      <c r="D26" s="331">
        <f>IF(ISNUMBER(C22),C22,"n.a.")</f>
        <v>67733</v>
      </c>
      <c r="E26" s="348">
        <f>IFERROR(C26/D26,"n.a.")</f>
        <v>0.99521651189228288</v>
      </c>
      <c r="F26" s="339" t="str">
        <f>IF(AND(ISNUMBER(C19),ISNUMBER(C12)),IF(C12&gt;0,C19/C12,"n.m. (EBITDA&lt;0)"),"n.a.")</f>
        <v>n.m. (EBITDA&lt;0)</v>
      </c>
      <c r="G26" s="260" t="s">
        <v>1450</v>
      </c>
      <c r="H26" s="260" t="s">
        <v>1483</v>
      </c>
    </row>
    <row r="27" spans="1:8" x14ac:dyDescent="0.25">
      <c r="A27" t="s">
        <v>520</v>
      </c>
      <c r="B27" s="424" t="str">
        <f>D4</f>
        <v>United States</v>
      </c>
      <c r="C27" s="331">
        <f>IF(ISNUMBER(D19),D19,"n.a.")</f>
        <v>70547</v>
      </c>
      <c r="D27" s="331">
        <f>IF(ISNUMBER(D22),D22,"n.a.")</f>
        <v>102018</v>
      </c>
      <c r="E27" s="348">
        <f>IFERROR(C27/D27,"n.a.")</f>
        <v>0.69151522280381894</v>
      </c>
      <c r="F27" s="339">
        <f>IF(AND(ISNUMBER(D19),ISNUMBER(D12)),IF(D12&gt;0,D19/D12,"n.m. (EBITDA&lt;0)"),"n.a.")</f>
        <v>25.385750269881253</v>
      </c>
      <c r="G27" s="260" t="s">
        <v>1450</v>
      </c>
      <c r="H27" s="260" t="s">
        <v>1483</v>
      </c>
    </row>
    <row r="28" spans="1:8" x14ac:dyDescent="0.25">
      <c r="A28" t="s">
        <v>523</v>
      </c>
      <c r="B28" s="424" t="str">
        <f>E4</f>
        <v>Germany</v>
      </c>
      <c r="C28" s="331" t="str">
        <f>IF(ISNUMBER(E19),E19,"n.a.")</f>
        <v>n.a.</v>
      </c>
      <c r="D28" s="331">
        <f>IF(ISNUMBER(E22),E22,"n.a.")</f>
        <v>49196.800000000003</v>
      </c>
      <c r="E28" s="348" t="str">
        <f>IFERROR(C28/D28,"n.a.")</f>
        <v>n.a.</v>
      </c>
      <c r="F28" s="339" t="str">
        <f>IF(AND(ISNUMBER(E19),ISNUMBER(E12)),IF(E12&gt;0,E19/E12,"n.m. (EBITDA&lt;0)"),"n.a.")</f>
        <v>n.a.</v>
      </c>
      <c r="G28" s="260" t="s">
        <v>1450</v>
      </c>
      <c r="H28" s="260" t="s">
        <v>1483</v>
      </c>
    </row>
    <row r="29" spans="1:8" x14ac:dyDescent="0.25">
      <c r="A29" t="s">
        <v>526</v>
      </c>
      <c r="B29" s="424" t="str">
        <f>F4</f>
        <v>China</v>
      </c>
      <c r="C29" s="331">
        <f>IF(ISNUMBER(F19),F19,"n.a.")</f>
        <v>327988</v>
      </c>
      <c r="D29" s="331" t="str">
        <f>IF(ISNUMBER(F22),F22,"n.a.")</f>
        <v>n.a.</v>
      </c>
      <c r="E29" s="348" t="str">
        <f>IFERROR(C29/D29,"n.a.")</f>
        <v>n.a.</v>
      </c>
      <c r="F29" s="339" t="str">
        <f>IF(AND(ISNUMBER(F19),ISNUMBER(F12)),IF(F12&gt;0,F19/F12,"n.m. (EBITDA&lt;0)"),"n.a.")</f>
        <v>n.m. (EBITDA&lt;0)</v>
      </c>
      <c r="G29" s="260" t="s">
        <v>1450</v>
      </c>
      <c r="H29" s="260" t="s">
        <v>1483</v>
      </c>
    </row>
    <row r="30" spans="1:8" x14ac:dyDescent="0.25">
      <c r="A30" s="3" t="s">
        <v>1484</v>
      </c>
      <c r="B30" s="3"/>
      <c r="C30" s="3"/>
      <c r="D30" s="3"/>
      <c r="E30" s="425">
        <f>MEDIAN(E26:E29)</f>
        <v>0.84336586734805086</v>
      </c>
      <c r="F30" s="262"/>
    </row>
    <row r="31" spans="1:8" x14ac:dyDescent="0.25">
      <c r="A31" s="3" t="s">
        <v>1485</v>
      </c>
      <c r="B31" s="3"/>
      <c r="C31" s="3"/>
      <c r="D31" s="3"/>
      <c r="E31" s="261"/>
      <c r="F31" s="426">
        <f>IFERROR(MEDIAN(F26:F29),"n.a.")</f>
        <v>25.385750269881253</v>
      </c>
    </row>
    <row r="32" spans="1:8" x14ac:dyDescent="0.25">
      <c r="A32" t="s">
        <v>1486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2FF84-4D17-4438-B359-A7627E7D7AC3}">
  <dimension ref="A1:H55"/>
  <sheetViews>
    <sheetView zoomScale="70" zoomScaleNormal="70" workbookViewId="0">
      <selection activeCell="C19" sqref="C19"/>
    </sheetView>
  </sheetViews>
  <sheetFormatPr defaultRowHeight="15" x14ac:dyDescent="0.25"/>
  <cols>
    <col min="1" max="1" width="33.28515625" customWidth="1"/>
    <col min="2" max="2" width="77.28515625" bestFit="1" customWidth="1"/>
    <col min="3" max="3" width="40.42578125" bestFit="1" customWidth="1"/>
    <col min="4" max="4" width="97.140625" bestFit="1" customWidth="1"/>
    <col min="5" max="5" width="58.42578125" bestFit="1" customWidth="1"/>
    <col min="6" max="6" width="83" bestFit="1" customWidth="1"/>
    <col min="7" max="7" width="9.5703125" bestFit="1" customWidth="1"/>
    <col min="8" max="8" width="41.140625" bestFit="1" customWidth="1"/>
  </cols>
  <sheetData>
    <row r="1" spans="1:8" ht="18.75" x14ac:dyDescent="0.3">
      <c r="A1" s="5" t="s">
        <v>220</v>
      </c>
    </row>
    <row r="2" spans="1:8" x14ac:dyDescent="0.25">
      <c r="A2" s="4" t="s">
        <v>221</v>
      </c>
      <c r="B2" s="4" t="s">
        <v>222</v>
      </c>
      <c r="C2" s="4" t="s">
        <v>223</v>
      </c>
      <c r="D2" s="4" t="s">
        <v>224</v>
      </c>
      <c r="E2" s="4" t="s">
        <v>225</v>
      </c>
      <c r="F2" s="4" t="s">
        <v>226</v>
      </c>
      <c r="G2" s="4" t="s">
        <v>227</v>
      </c>
      <c r="H2" s="4" t="s">
        <v>228</v>
      </c>
    </row>
    <row r="3" spans="1:8" x14ac:dyDescent="0.25">
      <c r="A3" t="s">
        <v>229</v>
      </c>
      <c r="B3" t="s">
        <v>230</v>
      </c>
      <c r="C3" t="s">
        <v>231</v>
      </c>
      <c r="D3" t="s">
        <v>232</v>
      </c>
      <c r="E3" t="s">
        <v>233</v>
      </c>
      <c r="F3" t="s">
        <v>234</v>
      </c>
      <c r="G3" s="13">
        <v>46112</v>
      </c>
      <c r="H3" t="s">
        <v>235</v>
      </c>
    </row>
    <row r="4" spans="1:8" x14ac:dyDescent="0.25">
      <c r="A4" t="s">
        <v>229</v>
      </c>
      <c r="B4" t="s">
        <v>236</v>
      </c>
      <c r="C4" t="s">
        <v>237</v>
      </c>
      <c r="D4" t="s">
        <v>232</v>
      </c>
      <c r="E4" t="s">
        <v>238</v>
      </c>
      <c r="F4" t="s">
        <v>234</v>
      </c>
      <c r="G4" s="13">
        <v>46112</v>
      </c>
      <c r="H4" t="s">
        <v>799</v>
      </c>
    </row>
    <row r="5" spans="1:8" x14ac:dyDescent="0.25">
      <c r="A5" t="s">
        <v>229</v>
      </c>
      <c r="B5" t="s">
        <v>239</v>
      </c>
      <c r="C5" t="s">
        <v>240</v>
      </c>
      <c r="D5" t="s">
        <v>232</v>
      </c>
      <c r="E5" t="s">
        <v>241</v>
      </c>
      <c r="F5" t="s">
        <v>234</v>
      </c>
      <c r="G5" s="13">
        <v>46112</v>
      </c>
      <c r="H5" t="s">
        <v>800</v>
      </c>
    </row>
    <row r="6" spans="1:8" x14ac:dyDescent="0.25">
      <c r="A6" t="s">
        <v>229</v>
      </c>
      <c r="B6" t="s">
        <v>242</v>
      </c>
      <c r="C6" t="s">
        <v>243</v>
      </c>
      <c r="D6" t="s">
        <v>232</v>
      </c>
      <c r="E6" t="s">
        <v>244</v>
      </c>
      <c r="F6" t="s">
        <v>234</v>
      </c>
      <c r="G6" s="13">
        <v>46112</v>
      </c>
      <c r="H6" t="s">
        <v>801</v>
      </c>
    </row>
    <row r="7" spans="1:8" x14ac:dyDescent="0.25">
      <c r="A7" t="s">
        <v>229</v>
      </c>
      <c r="B7" t="s">
        <v>245</v>
      </c>
      <c r="C7" t="s">
        <v>246</v>
      </c>
      <c r="D7" t="s">
        <v>232</v>
      </c>
      <c r="E7" t="s">
        <v>247</v>
      </c>
      <c r="F7" t="s">
        <v>234</v>
      </c>
      <c r="G7" s="13">
        <v>46112</v>
      </c>
      <c r="H7" t="s">
        <v>911</v>
      </c>
    </row>
    <row r="8" spans="1:8" x14ac:dyDescent="0.25">
      <c r="A8" t="s">
        <v>229</v>
      </c>
      <c r="B8" t="s">
        <v>248</v>
      </c>
      <c r="C8" t="s">
        <v>249</v>
      </c>
      <c r="D8" t="s">
        <v>250</v>
      </c>
      <c r="E8" t="s">
        <v>251</v>
      </c>
      <c r="F8" t="s">
        <v>234</v>
      </c>
      <c r="G8" s="13">
        <v>46112</v>
      </c>
      <c r="H8" t="s">
        <v>703</v>
      </c>
    </row>
    <row r="9" spans="1:8" x14ac:dyDescent="0.25">
      <c r="A9" t="s">
        <v>252</v>
      </c>
      <c r="B9" t="s">
        <v>253</v>
      </c>
      <c r="C9" t="s">
        <v>254</v>
      </c>
      <c r="D9" t="s">
        <v>255</v>
      </c>
      <c r="E9" t="s">
        <v>256</v>
      </c>
      <c r="F9" t="s">
        <v>234</v>
      </c>
      <c r="G9" s="13">
        <v>46112</v>
      </c>
      <c r="H9" t="s">
        <v>885</v>
      </c>
    </row>
    <row r="10" spans="1:8" x14ac:dyDescent="0.25">
      <c r="A10" t="s">
        <v>252</v>
      </c>
      <c r="B10" t="s">
        <v>257</v>
      </c>
      <c r="C10" t="s">
        <v>258</v>
      </c>
      <c r="D10" t="s">
        <v>255</v>
      </c>
      <c r="E10" t="s">
        <v>256</v>
      </c>
      <c r="F10" t="s">
        <v>234</v>
      </c>
      <c r="G10" s="13">
        <v>46112</v>
      </c>
      <c r="H10" t="s">
        <v>886</v>
      </c>
    </row>
    <row r="11" spans="1:8" x14ac:dyDescent="0.25">
      <c r="A11" t="s">
        <v>143</v>
      </c>
      <c r="B11" t="s">
        <v>259</v>
      </c>
      <c r="C11" t="s">
        <v>260</v>
      </c>
      <c r="D11" t="s">
        <v>261</v>
      </c>
      <c r="E11" t="s">
        <v>262</v>
      </c>
      <c r="F11" t="s">
        <v>234</v>
      </c>
      <c r="G11" s="13">
        <v>46112</v>
      </c>
      <c r="H11" s="14" t="s">
        <v>263</v>
      </c>
    </row>
    <row r="12" spans="1:8" x14ac:dyDescent="0.25">
      <c r="A12" t="s">
        <v>143</v>
      </c>
      <c r="B12" t="s">
        <v>264</v>
      </c>
      <c r="C12" t="s">
        <v>265</v>
      </c>
      <c r="D12" t="s">
        <v>261</v>
      </c>
      <c r="E12" t="s">
        <v>266</v>
      </c>
      <c r="F12" t="s">
        <v>234</v>
      </c>
      <c r="G12" s="13">
        <v>46112</v>
      </c>
      <c r="H12" s="14" t="s">
        <v>711</v>
      </c>
    </row>
    <row r="13" spans="1:8" x14ac:dyDescent="0.25">
      <c r="A13" t="s">
        <v>143</v>
      </c>
      <c r="B13" t="s">
        <v>267</v>
      </c>
      <c r="C13" t="s">
        <v>268</v>
      </c>
      <c r="D13" t="s">
        <v>261</v>
      </c>
      <c r="E13" t="s">
        <v>269</v>
      </c>
      <c r="F13" t="s">
        <v>234</v>
      </c>
      <c r="G13" s="13">
        <v>46112</v>
      </c>
      <c r="H13" s="14" t="s">
        <v>270</v>
      </c>
    </row>
    <row r="14" spans="1:8" x14ac:dyDescent="0.25">
      <c r="A14" t="s">
        <v>143</v>
      </c>
      <c r="B14" t="s">
        <v>271</v>
      </c>
      <c r="C14" t="s">
        <v>272</v>
      </c>
      <c r="D14" t="s">
        <v>261</v>
      </c>
      <c r="E14" t="s">
        <v>273</v>
      </c>
      <c r="F14" t="s">
        <v>234</v>
      </c>
      <c r="G14" s="13">
        <v>46112</v>
      </c>
      <c r="H14" s="14" t="s">
        <v>274</v>
      </c>
    </row>
    <row r="15" spans="1:8" x14ac:dyDescent="0.25">
      <c r="A15" t="s">
        <v>143</v>
      </c>
      <c r="B15" t="s">
        <v>275</v>
      </c>
      <c r="C15" t="s">
        <v>276</v>
      </c>
      <c r="D15" t="s">
        <v>261</v>
      </c>
      <c r="E15" t="s">
        <v>277</v>
      </c>
      <c r="F15" t="s">
        <v>234</v>
      </c>
      <c r="G15" s="13">
        <v>46112</v>
      </c>
      <c r="H15" s="14" t="s">
        <v>278</v>
      </c>
    </row>
    <row r="16" spans="1:8" x14ac:dyDescent="0.25">
      <c r="A16" t="s">
        <v>143</v>
      </c>
      <c r="B16" t="s">
        <v>279</v>
      </c>
      <c r="C16" t="s">
        <v>280</v>
      </c>
      <c r="D16" t="s">
        <v>281</v>
      </c>
      <c r="E16" t="s">
        <v>282</v>
      </c>
      <c r="F16" t="s">
        <v>283</v>
      </c>
      <c r="G16" s="13">
        <v>45747</v>
      </c>
      <c r="H16" s="14" t="s">
        <v>284</v>
      </c>
    </row>
    <row r="17" spans="1:8" x14ac:dyDescent="0.25">
      <c r="A17" t="s">
        <v>285</v>
      </c>
      <c r="B17" t="s">
        <v>286</v>
      </c>
      <c r="C17" t="s">
        <v>287</v>
      </c>
      <c r="D17" t="s">
        <v>261</v>
      </c>
      <c r="E17" t="s">
        <v>288</v>
      </c>
      <c r="F17" t="s">
        <v>234</v>
      </c>
      <c r="G17" s="13">
        <v>46112</v>
      </c>
      <c r="H17" t="s">
        <v>289</v>
      </c>
    </row>
    <row r="18" spans="1:8" x14ac:dyDescent="0.25">
      <c r="A18" t="s">
        <v>290</v>
      </c>
      <c r="B18" t="s">
        <v>291</v>
      </c>
      <c r="C18" t="s">
        <v>292</v>
      </c>
      <c r="D18" t="s">
        <v>293</v>
      </c>
      <c r="E18" s="14" t="s">
        <v>294</v>
      </c>
      <c r="F18" t="s">
        <v>295</v>
      </c>
      <c r="G18" s="13">
        <v>46140</v>
      </c>
      <c r="H18" t="s">
        <v>296</v>
      </c>
    </row>
    <row r="19" spans="1:8" x14ac:dyDescent="0.25">
      <c r="A19" t="s">
        <v>290</v>
      </c>
      <c r="B19" t="s">
        <v>297</v>
      </c>
      <c r="C19" t="s">
        <v>298</v>
      </c>
      <c r="D19" t="s">
        <v>261</v>
      </c>
      <c r="E19" t="s">
        <v>299</v>
      </c>
      <c r="F19" t="s">
        <v>234</v>
      </c>
      <c r="G19" s="13">
        <v>46140</v>
      </c>
      <c r="H19" t="s">
        <v>704</v>
      </c>
    </row>
    <row r="20" spans="1:8" x14ac:dyDescent="0.25">
      <c r="A20" t="s">
        <v>290</v>
      </c>
      <c r="B20" t="s">
        <v>300</v>
      </c>
      <c r="C20" t="s">
        <v>301</v>
      </c>
      <c r="D20" t="s">
        <v>261</v>
      </c>
      <c r="E20" t="s">
        <v>302</v>
      </c>
      <c r="F20" t="s">
        <v>234</v>
      </c>
      <c r="G20" s="13">
        <v>46140</v>
      </c>
      <c r="H20" t="s">
        <v>705</v>
      </c>
    </row>
    <row r="21" spans="1:8" x14ac:dyDescent="0.25">
      <c r="A21" t="s">
        <v>290</v>
      </c>
      <c r="B21" t="s">
        <v>303</v>
      </c>
      <c r="C21" t="s">
        <v>304</v>
      </c>
      <c r="D21" t="s">
        <v>261</v>
      </c>
      <c r="E21" t="s">
        <v>305</v>
      </c>
      <c r="F21" t="s">
        <v>234</v>
      </c>
      <c r="G21" s="13">
        <v>46140</v>
      </c>
      <c r="H21" t="s">
        <v>706</v>
      </c>
    </row>
    <row r="22" spans="1:8" x14ac:dyDescent="0.25">
      <c r="A22" t="s">
        <v>290</v>
      </c>
      <c r="B22" t="s">
        <v>306</v>
      </c>
      <c r="C22" t="s">
        <v>304</v>
      </c>
      <c r="D22" t="s">
        <v>307</v>
      </c>
      <c r="E22" t="s">
        <v>308</v>
      </c>
      <c r="F22" t="s">
        <v>309</v>
      </c>
      <c r="G22" s="13">
        <v>46043</v>
      </c>
      <c r="H22" t="s">
        <v>707</v>
      </c>
    </row>
    <row r="23" spans="1:8" x14ac:dyDescent="0.25">
      <c r="A23" t="s">
        <v>310</v>
      </c>
      <c r="B23" t="s">
        <v>311</v>
      </c>
      <c r="C23" t="s">
        <v>312</v>
      </c>
      <c r="D23" t="s">
        <v>313</v>
      </c>
      <c r="E23" t="s">
        <v>314</v>
      </c>
      <c r="F23" t="s">
        <v>315</v>
      </c>
      <c r="G23" s="13">
        <v>46140</v>
      </c>
      <c r="H23" t="s">
        <v>316</v>
      </c>
    </row>
    <row r="24" spans="1:8" x14ac:dyDescent="0.25">
      <c r="A24" t="s">
        <v>317</v>
      </c>
      <c r="B24" t="s">
        <v>318</v>
      </c>
      <c r="C24" s="15">
        <v>6.8000000000000005E-2</v>
      </c>
      <c r="D24" t="s">
        <v>319</v>
      </c>
      <c r="E24" t="s">
        <v>320</v>
      </c>
      <c r="F24" t="s">
        <v>321</v>
      </c>
      <c r="G24" s="13">
        <v>46225</v>
      </c>
      <c r="H24" t="s">
        <v>708</v>
      </c>
    </row>
    <row r="25" spans="1:8" x14ac:dyDescent="0.25">
      <c r="A25" t="s">
        <v>317</v>
      </c>
      <c r="B25" t="s">
        <v>322</v>
      </c>
      <c r="C25" t="s">
        <v>323</v>
      </c>
      <c r="D25" t="s">
        <v>324</v>
      </c>
      <c r="E25" t="s">
        <v>325</v>
      </c>
      <c r="F25" t="s">
        <v>326</v>
      </c>
      <c r="G25" s="13">
        <v>46227</v>
      </c>
      <c r="H25" t="s">
        <v>709</v>
      </c>
    </row>
    <row r="26" spans="1:8" x14ac:dyDescent="0.25">
      <c r="A26" t="s">
        <v>327</v>
      </c>
      <c r="B26" t="s">
        <v>328</v>
      </c>
      <c r="C26" t="s">
        <v>329</v>
      </c>
      <c r="D26" t="s">
        <v>330</v>
      </c>
      <c r="E26" t="s">
        <v>331</v>
      </c>
      <c r="F26" t="s">
        <v>332</v>
      </c>
      <c r="G26" s="13">
        <v>46227</v>
      </c>
      <c r="H26" t="s">
        <v>710</v>
      </c>
    </row>
    <row r="27" spans="1:8" x14ac:dyDescent="0.25">
      <c r="A27" t="s">
        <v>641</v>
      </c>
      <c r="B27" t="s">
        <v>642</v>
      </c>
      <c r="C27" t="s">
        <v>643</v>
      </c>
      <c r="D27" t="s">
        <v>250</v>
      </c>
      <c r="E27" t="s">
        <v>644</v>
      </c>
      <c r="F27" t="s">
        <v>234</v>
      </c>
      <c r="G27" s="13">
        <v>46112</v>
      </c>
      <c r="H27" t="s">
        <v>645</v>
      </c>
    </row>
    <row r="28" spans="1:8" x14ac:dyDescent="0.25">
      <c r="A28" t="s">
        <v>641</v>
      </c>
      <c r="B28" t="s">
        <v>646</v>
      </c>
      <c r="C28" t="s">
        <v>647</v>
      </c>
      <c r="D28" t="s">
        <v>250</v>
      </c>
      <c r="E28" t="s">
        <v>648</v>
      </c>
      <c r="F28" t="s">
        <v>234</v>
      </c>
      <c r="G28" s="13">
        <v>46112</v>
      </c>
      <c r="H28" t="s">
        <v>649</v>
      </c>
    </row>
    <row r="29" spans="1:8" x14ac:dyDescent="0.25">
      <c r="A29" t="s">
        <v>641</v>
      </c>
      <c r="B29" t="s">
        <v>650</v>
      </c>
      <c r="C29" t="s">
        <v>651</v>
      </c>
      <c r="D29" t="s">
        <v>652</v>
      </c>
      <c r="E29" t="s">
        <v>256</v>
      </c>
      <c r="F29" t="s">
        <v>234</v>
      </c>
      <c r="G29" s="13">
        <v>46112</v>
      </c>
      <c r="H29" t="s">
        <v>653</v>
      </c>
    </row>
    <row r="30" spans="1:8" x14ac:dyDescent="0.25">
      <c r="A30" t="s">
        <v>641</v>
      </c>
      <c r="B30" t="s">
        <v>654</v>
      </c>
      <c r="C30" t="s">
        <v>655</v>
      </c>
      <c r="D30" t="s">
        <v>656</v>
      </c>
      <c r="E30" t="s">
        <v>657</v>
      </c>
      <c r="F30" t="s">
        <v>234</v>
      </c>
      <c r="G30" s="13">
        <v>46112</v>
      </c>
      <c r="H30" s="14" t="s">
        <v>658</v>
      </c>
    </row>
    <row r="31" spans="1:8" x14ac:dyDescent="0.25">
      <c r="A31" t="s">
        <v>659</v>
      </c>
      <c r="B31" t="s">
        <v>660</v>
      </c>
      <c r="C31" t="s">
        <v>661</v>
      </c>
      <c r="D31" t="s">
        <v>662</v>
      </c>
      <c r="E31" t="s">
        <v>663</v>
      </c>
      <c r="F31" t="s">
        <v>234</v>
      </c>
      <c r="G31" s="13">
        <v>46112</v>
      </c>
      <c r="H31" t="s">
        <v>664</v>
      </c>
    </row>
    <row r="32" spans="1:8" x14ac:dyDescent="0.25">
      <c r="A32" t="s">
        <v>327</v>
      </c>
      <c r="B32" t="s">
        <v>665</v>
      </c>
      <c r="C32" t="s">
        <v>666</v>
      </c>
      <c r="D32" t="s">
        <v>667</v>
      </c>
      <c r="E32" t="s">
        <v>668</v>
      </c>
      <c r="F32" t="s">
        <v>332</v>
      </c>
      <c r="G32" s="13">
        <v>46228</v>
      </c>
      <c r="H32" s="14" t="s">
        <v>712</v>
      </c>
    </row>
    <row r="33" spans="1:8" x14ac:dyDescent="0.25">
      <c r="A33" t="s">
        <v>669</v>
      </c>
      <c r="B33" t="s">
        <v>670</v>
      </c>
      <c r="C33" t="s">
        <v>675</v>
      </c>
      <c r="D33" t="s">
        <v>676</v>
      </c>
      <c r="E33" t="s">
        <v>1619</v>
      </c>
      <c r="F33" t="s">
        <v>677</v>
      </c>
      <c r="G33">
        <v>46228</v>
      </c>
      <c r="H33" t="s">
        <v>671</v>
      </c>
    </row>
    <row r="34" spans="1:8" x14ac:dyDescent="0.25">
      <c r="A34" t="s">
        <v>143</v>
      </c>
      <c r="B34" t="s">
        <v>680</v>
      </c>
      <c r="C34" t="s">
        <v>681</v>
      </c>
      <c r="D34" t="s">
        <v>682</v>
      </c>
      <c r="E34" t="s">
        <v>683</v>
      </c>
      <c r="F34" t="s">
        <v>684</v>
      </c>
      <c r="G34" s="56">
        <v>45382</v>
      </c>
      <c r="H34" s="14" t="s">
        <v>696</v>
      </c>
    </row>
    <row r="35" spans="1:8" x14ac:dyDescent="0.25">
      <c r="A35" t="s">
        <v>143</v>
      </c>
      <c r="B35" t="s">
        <v>685</v>
      </c>
      <c r="C35" t="s">
        <v>686</v>
      </c>
      <c r="D35" t="s">
        <v>687</v>
      </c>
      <c r="E35" t="s">
        <v>688</v>
      </c>
      <c r="F35" t="s">
        <v>689</v>
      </c>
      <c r="G35" s="56">
        <v>45016</v>
      </c>
      <c r="H35" s="14" t="s">
        <v>697</v>
      </c>
    </row>
    <row r="36" spans="1:8" x14ac:dyDescent="0.25">
      <c r="A36" t="s">
        <v>690</v>
      </c>
      <c r="B36" t="s">
        <v>691</v>
      </c>
      <c r="C36" t="s">
        <v>692</v>
      </c>
      <c r="D36" t="s">
        <v>693</v>
      </c>
      <c r="E36" t="s">
        <v>694</v>
      </c>
      <c r="F36" t="s">
        <v>695</v>
      </c>
      <c r="G36" t="s">
        <v>332</v>
      </c>
      <c r="H36" s="14" t="s">
        <v>698</v>
      </c>
    </row>
    <row r="37" spans="1:8" x14ac:dyDescent="0.25">
      <c r="A37" t="s">
        <v>659</v>
      </c>
      <c r="B37" t="s">
        <v>714</v>
      </c>
      <c r="C37" t="s">
        <v>715</v>
      </c>
      <c r="D37" t="s">
        <v>716</v>
      </c>
      <c r="E37" t="s">
        <v>717</v>
      </c>
      <c r="F37" t="s">
        <v>234</v>
      </c>
      <c r="G37" s="58">
        <v>46228</v>
      </c>
      <c r="H37" t="s">
        <v>802</v>
      </c>
    </row>
    <row r="38" spans="1:8" x14ac:dyDescent="0.25">
      <c r="A38" t="s">
        <v>721</v>
      </c>
      <c r="B38" t="s">
        <v>722</v>
      </c>
      <c r="C38" t="s">
        <v>723</v>
      </c>
      <c r="D38" t="s">
        <v>724</v>
      </c>
      <c r="E38" t="s">
        <v>725</v>
      </c>
      <c r="F38" t="s">
        <v>720</v>
      </c>
      <c r="G38" s="58">
        <v>46228</v>
      </c>
      <c r="H38" s="14" t="s">
        <v>891</v>
      </c>
    </row>
    <row r="39" spans="1:8" x14ac:dyDescent="0.25">
      <c r="A39" t="s">
        <v>726</v>
      </c>
      <c r="B39" t="s">
        <v>727</v>
      </c>
      <c r="C39" t="s">
        <v>746</v>
      </c>
      <c r="D39" t="s">
        <v>728</v>
      </c>
      <c r="E39" t="s">
        <v>747</v>
      </c>
      <c r="F39" t="s">
        <v>720</v>
      </c>
      <c r="G39" s="58">
        <v>46228</v>
      </c>
      <c r="H39" s="14" t="s">
        <v>892</v>
      </c>
    </row>
    <row r="41" spans="1:8" x14ac:dyDescent="0.25">
      <c r="A41" s="2" t="s">
        <v>1620</v>
      </c>
    </row>
    <row r="43" spans="1:8" x14ac:dyDescent="0.25">
      <c r="A43" s="206" t="s">
        <v>1292</v>
      </c>
    </row>
    <row r="44" spans="1:8" x14ac:dyDescent="0.25">
      <c r="A44" s="2" t="s">
        <v>1293</v>
      </c>
    </row>
    <row r="45" spans="1:8" x14ac:dyDescent="0.25">
      <c r="A45" s="3" t="s">
        <v>1294</v>
      </c>
      <c r="B45" s="3" t="s">
        <v>1295</v>
      </c>
      <c r="C45" s="3" t="s">
        <v>495</v>
      </c>
      <c r="D45" s="3" t="s">
        <v>1296</v>
      </c>
    </row>
    <row r="46" spans="1:8" x14ac:dyDescent="0.25">
      <c r="A46" t="s">
        <v>1297</v>
      </c>
      <c r="B46" t="s">
        <v>1298</v>
      </c>
      <c r="C46" t="str">
        <f>TEXT(Scenarios!B39,"0%")&amp;" / "&amp;TEXT(Scenarios!C39,"0%")&amp;" / "&amp;TEXT(Scenarios!D39,"0%")</f>
        <v>30% / 45% / 25%</v>
      </c>
      <c r="D46" t="s">
        <v>1299</v>
      </c>
    </row>
    <row r="47" spans="1:8" x14ac:dyDescent="0.25">
      <c r="A47" t="s">
        <v>1300</v>
      </c>
      <c r="B47" t="s">
        <v>1301</v>
      </c>
      <c r="C47" t="s">
        <v>1302</v>
      </c>
      <c r="D47" t="s">
        <v>1303</v>
      </c>
    </row>
    <row r="48" spans="1:8" x14ac:dyDescent="0.25">
      <c r="A48" t="s">
        <v>1084</v>
      </c>
      <c r="B48" t="s">
        <v>1304</v>
      </c>
      <c r="C48" t="str">
        <f>TEXT(Dashboard!B29,"0%")</f>
        <v>18%</v>
      </c>
      <c r="D48" t="s">
        <v>1305</v>
      </c>
    </row>
    <row r="49" spans="1:4" x14ac:dyDescent="0.25">
      <c r="A49" t="s">
        <v>1306</v>
      </c>
      <c r="B49" t="s">
        <v>1307</v>
      </c>
      <c r="C49" t="str">
        <f>TEXT(Dashboard!B39,"0%")&amp;" / "&amp;TEXT(Dashboard!B40,"0%")</f>
        <v>5% / 2%</v>
      </c>
      <c r="D49" t="s">
        <v>1308</v>
      </c>
    </row>
    <row r="50" spans="1:4" x14ac:dyDescent="0.25">
      <c r="A50" t="s">
        <v>1309</v>
      </c>
      <c r="B50" t="s">
        <v>1553</v>
      </c>
      <c r="C50" t="str">
        <f>TEXT(DCF!B47,"0%")</f>
        <v>16%</v>
      </c>
      <c r="D50" t="s">
        <v>1310</v>
      </c>
    </row>
    <row r="51" spans="1:4" x14ac:dyDescent="0.25">
      <c r="A51" t="s">
        <v>1311</v>
      </c>
      <c r="B51" t="s">
        <v>1312</v>
      </c>
      <c r="C51" t="str">
        <f>TEXT(OpMetrics!C48,"0%")&amp;" / "&amp;TEXT(OpMetrics!D48,"0%")&amp;" / "&amp;TEXT(OpMetrics!E48,"0%")&amp;" / "&amp;TEXT(OpMetrics!F48,"0%")</f>
        <v>50% / 75% / 90% / 100%</v>
      </c>
      <c r="D51" t="s">
        <v>1313</v>
      </c>
    </row>
    <row r="52" spans="1:4" x14ac:dyDescent="0.25">
      <c r="A52" t="s">
        <v>1314</v>
      </c>
      <c r="B52" t="s">
        <v>1552</v>
      </c>
      <c r="C52" t="str">
        <f>TEXT(Reverse_DCF!B20,"0.0%")</f>
        <v>10.5%</v>
      </c>
      <c r="D52" t="s">
        <v>1315</v>
      </c>
    </row>
    <row r="53" spans="1:4" x14ac:dyDescent="0.25">
      <c r="A53" t="s">
        <v>1372</v>
      </c>
      <c r="B53" t="s">
        <v>1545</v>
      </c>
      <c r="C53" t="s">
        <v>1373</v>
      </c>
      <c r="D53" t="s">
        <v>1546</v>
      </c>
    </row>
    <row r="54" spans="1:4" x14ac:dyDescent="0.25">
      <c r="A54" t="s">
        <v>1364</v>
      </c>
      <c r="B54" t="s">
        <v>1547</v>
      </c>
      <c r="C54" s="217" t="s">
        <v>1548</v>
      </c>
      <c r="D54" t="s">
        <v>1549</v>
      </c>
    </row>
    <row r="55" spans="1:4" x14ac:dyDescent="0.25">
      <c r="A55" t="s">
        <v>1376</v>
      </c>
      <c r="B55" t="s">
        <v>1550</v>
      </c>
      <c r="C55" t="s">
        <v>1377</v>
      </c>
      <c r="D55" t="s">
        <v>1551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44C2-687F-4687-AF76-BDEDE7078658}">
  <dimension ref="A1:C45"/>
  <sheetViews>
    <sheetView topLeftCell="A7" zoomScale="60" zoomScaleNormal="60" workbookViewId="0">
      <selection activeCell="C36" sqref="C36"/>
    </sheetView>
  </sheetViews>
  <sheetFormatPr defaultRowHeight="15" x14ac:dyDescent="0.25"/>
  <cols>
    <col min="1" max="1" width="72.7109375" customWidth="1"/>
    <col min="2" max="2" width="23.5703125" customWidth="1"/>
    <col min="3" max="3" width="72.7109375" customWidth="1"/>
  </cols>
  <sheetData>
    <row r="1" spans="1:3" ht="18.75" x14ac:dyDescent="0.3">
      <c r="A1" s="202" t="s">
        <v>1193</v>
      </c>
    </row>
    <row r="2" spans="1:3" x14ac:dyDescent="0.25">
      <c r="A2" s="196" t="s">
        <v>1194</v>
      </c>
    </row>
    <row r="4" spans="1:3" x14ac:dyDescent="0.25">
      <c r="A4" s="203" t="s">
        <v>1195</v>
      </c>
      <c r="B4" s="204"/>
      <c r="C4" s="204"/>
    </row>
    <row r="5" spans="1:3" x14ac:dyDescent="0.25">
      <c r="A5" s="3" t="s">
        <v>1589</v>
      </c>
      <c r="B5" s="427">
        <f>COUNTIF(B9:B45,"FAIL*")+COUNTIF(B9:B45,"REVIEW*")+COUNTIF(B9:B45,"MANUAL*")</f>
        <v>12</v>
      </c>
    </row>
    <row r="6" spans="1:3" x14ac:dyDescent="0.25">
      <c r="A6" s="3" t="s">
        <v>1196</v>
      </c>
      <c r="B6" s="427" t="str">
        <f>IF(B5=0,"READY","NOT READY — "&amp;B5&amp;" item(s) need attention")</f>
        <v>NOT READY — 12 item(s) need attention</v>
      </c>
    </row>
    <row r="8" spans="1:3" x14ac:dyDescent="0.25">
      <c r="A8" s="57" t="s">
        <v>1197</v>
      </c>
      <c r="B8" s="57" t="s">
        <v>494</v>
      </c>
      <c r="C8" s="57" t="s">
        <v>155</v>
      </c>
    </row>
    <row r="9" spans="1:3" x14ac:dyDescent="0.25">
      <c r="A9" t="s">
        <v>1562</v>
      </c>
      <c r="B9" s="78" t="str">
        <f>IF(MAX(INDEX(ABS(BS!D33:O33),0))&lt;0.5,"PASS","FAIL — max gap "&amp;TEXT(MAX(INDEX(ABS(BS!D33:O33),0)),"#,##0")&amp;" Cr")</f>
        <v>FAIL — max gap 15 Cr</v>
      </c>
      <c r="C9" s="78" t="str">
        <f>"Genuine check (no plug). FY26A audited total assets "&amp;TEXT(BS!G18,"#,##0")&amp;" vs E&amp;L "&amp;TEXT(BS!G31,"#,##0")&amp;": gap "&amp;TEXT(BS!G33,"#,##0")&amp;" Cr carried flat into the forecast — needs the audited liabilities split (INPUTS NEEDED). FY23A–FY24A row 9 is still a residual (MANUAL – OPEN), so those two years cannot fail."</f>
        <v>Genuine check (no plug). FY26A audited total assets 40,736 vs E&amp;L 40,721: gap 15 Cr carried flat into the forecast — needs the audited liabilities split (INPUTS NEEDED). FY23A–FY24A row 9 is still a residual (MANUAL – OPEN), so those two years cannot fail.</v>
      </c>
    </row>
    <row r="10" spans="1:3" x14ac:dyDescent="0.25">
      <c r="A10" t="s">
        <v>1563</v>
      </c>
      <c r="B10" s="78" t="str">
        <f>IF(MAX(INDEX(ABS(BS!H34:O34),0))&lt;0.5,"PASS","FAIL — "&amp;TEXT(MAX(INDEX(ABS(BS!H34:O34),0)),"#,##0")&amp;" Cr")</f>
        <v>PASS</v>
      </c>
      <c r="C10" s="78" t="str">
        <f>"Every forecast BS movement now flows through the CFS. Plug removed: BS row 9 is held at "&amp;TEXT(BS!H9,"#,##0")&amp;" Cr. Stress test: ₹100 Cr in Assumptions!H97 breaks this check."</f>
        <v>Every forecast BS movement now flows through the CFS. Plug removed: BS row 9 is held at 867 Cr. Stress test: ₹100 Cr in Assumptions!H97 breaks this check.</v>
      </c>
    </row>
    <row r="11" spans="1:3" x14ac:dyDescent="0.25">
      <c r="A11" t="s">
        <v>1198</v>
      </c>
      <c r="B11" s="78" t="str">
        <f>IF(SUMPRODUCT(ABS(BS!D15:O15-CFS!D32:O32))&lt;0.01,"PASS","FAIL")</f>
        <v>PASS</v>
      </c>
      <c r="C11" s="80" t="str">
        <f>"Definitional by construction (BS cash = prior + CFS net change). Shown for completeness; the independent test is row 9/10."</f>
        <v>Definitional by construction (BS cash = prior + CFS net change). Shown for completeness; the independent test is row 9/10.</v>
      </c>
    </row>
    <row r="12" spans="1:3" x14ac:dyDescent="0.25">
      <c r="A12" t="s">
        <v>1564</v>
      </c>
      <c r="B12" s="78" t="str">
        <f>IF((SUMPRODUCT(--ISERROR(Cover!A1:Z250))+SUMPRODUCT(--ISERROR(Index!A1:Z250))+SUMPRODUCT(--ISERROR(Assumptions!A1:Z250))+SUMPRODUCT(--ISERROR('Revenue Schedule'!A1:Z250))+SUMPRODUCT(--ISERROR('Cost Schedule'!A1:Z250))+SUMPRODUCT(--ISERROR(IS!A1:Z250))+SUMPRODUCT(--ISERROR(FA_Schedule!A1:Z250))+SUMPRODUCT(--ISERROR(Lease_Schedule!A1:Z250))+SUMPRODUCT(--ISERROR(Tax_Schedule!A1:Z250))+SUMPRODUCT(--ISERROR(WC_Schedule!A1:Z250))+SUMPRODUCT(--ISERROR('Other Income Schedule '!A1:Z250))+SUMPRODUCT(--ISERROR('ESOP Schedule'!A1:Z250))+SUMPRODUCT(--ISERROR(BS!A1:Z250))+SUMPRODUCT(--ISERROR(CFS!A1:Z250))+SUMPRODUCT(--ISERROR(OpMetrics!A1:Z250))+SUMPRODUCT(--ISERROR(Ratios!A1:Z250))+SUMPRODUCT(--ISERROR('ERP &amp; Rf'!A1:Z250))+SUMPRODUCT(--ISERROR('Beta Calc'!A1:Z250))+SUMPRODUCT(--ISERROR('Share Count &amp; Dilution'!A1:Z250))+SUMPRODUCT(--ISERROR(DCF!A1:Z250))+SUMPRODUCT(--ISERROR(SOTP!A1:Z250))+SUMPRODUCT(--ISERROR(Sensitivity!A1:Z250))+SUMPRODUCT(--ISERROR(Scenarios!A1:Z250))+SUMPRODUCT(--ISERROR(Dashboard!A1:Z250))+SUMPRODUCT(--ISERROR(Memo!A1:Z250))+SUMPRODUCT(--ISERROR(Variant_View!A1:Z250))+SUMPRODUCT(--ISERROR(Reverse_DCF!A1:Z250))+SUMPRODUCT(--ISERROR(Comparable!A1:Z250))+SUMPRODUCT(--ISERROR(Data_Sources!A1:Z250)))=0,"PASS","FAIL — "&amp;(SUMPRODUCT(--ISERROR(Cover!A1:Z250))+SUMPRODUCT(--ISERROR(Index!A1:Z250))+SUMPRODUCT(--ISERROR(Assumptions!A1:Z250))+SUMPRODUCT(--ISERROR('Revenue Schedule'!A1:Z250))+SUMPRODUCT(--ISERROR('Cost Schedule'!A1:Z250))+SUMPRODUCT(--ISERROR(IS!A1:Z250))+SUMPRODUCT(--ISERROR(FA_Schedule!A1:Z250))+SUMPRODUCT(--ISERROR(Lease_Schedule!A1:Z250))+SUMPRODUCT(--ISERROR(Tax_Schedule!A1:Z250))+SUMPRODUCT(--ISERROR(WC_Schedule!A1:Z250))+SUMPRODUCT(--ISERROR('Other Income Schedule '!A1:Z250))+SUMPRODUCT(--ISERROR('ESOP Schedule'!A1:Z250))+SUMPRODUCT(--ISERROR(BS!A1:Z250))+SUMPRODUCT(--ISERROR(CFS!A1:Z250))+SUMPRODUCT(--ISERROR(OpMetrics!A1:Z250))+SUMPRODUCT(--ISERROR(Ratios!A1:Z250))+SUMPRODUCT(--ISERROR('ERP &amp; Rf'!A1:Z250))+SUMPRODUCT(--ISERROR('Beta Calc'!A1:Z250))+SUMPRODUCT(--ISERROR('Share Count &amp; Dilution'!A1:Z250))+SUMPRODUCT(--ISERROR(DCF!A1:Z250))+SUMPRODUCT(--ISERROR(SOTP!A1:Z250))+SUMPRODUCT(--ISERROR(Sensitivity!A1:Z250))+SUMPRODUCT(--ISERROR(Scenarios!A1:Z250))+SUMPRODUCT(--ISERROR(Dashboard!A1:Z250))+SUMPRODUCT(--ISERROR(Memo!A1:Z250))+SUMPRODUCT(--ISERROR(Variant_View!A1:Z250))+SUMPRODUCT(--ISERROR(Reverse_DCF!A1:Z250))+SUMPRODUCT(--ISERROR(Comparable!A1:Z250))+SUMPRODUCT(--ISERROR(Data_Sources!A1:Z250)))&amp;" error cells")</f>
        <v>PASS</v>
      </c>
      <c r="C12" s="80" t="str">
        <f>"Scans A1:Z250 on all "&amp;29&amp;" other tabs."</f>
        <v>Scans A1:Z250 on all 29 other tabs.</v>
      </c>
    </row>
    <row r="13" spans="1:3" x14ac:dyDescent="0.25">
      <c r="A13" t="s">
        <v>1565</v>
      </c>
      <c r="B13" s="78" t="str">
        <f>IF(MIN(BS!H15:O15)&gt;=0,"PASS","FAIL — trough "&amp;TEXT(MIN(BS!H15:O15),"#,##0")&amp;" Cr")</f>
        <v>FAIL — trough -20,244 Cr</v>
      </c>
      <c r="C13" s="78" t="str">
        <f>"Lowest forecast cash "&amp;TEXT(MIN(BS!H15:O15),"#,##0")&amp;" Cr. Negative cash earns negative other income at the treasury yield (an implicit borrowing cost); a revolver/equity raise is not modelled."</f>
        <v>Lowest forecast cash -20,244 Cr. Negative cash earns negative other income at the treasury yield (an implicit borrowing cost); a revolver/equity raise is not modelled.</v>
      </c>
    </row>
    <row r="14" spans="1:3" x14ac:dyDescent="0.25">
      <c r="B14" s="248"/>
    </row>
    <row r="15" spans="1:3" x14ac:dyDescent="0.25">
      <c r="A15" s="57" t="s">
        <v>1199</v>
      </c>
      <c r="B15" s="249" t="s">
        <v>494</v>
      </c>
      <c r="C15" s="57" t="s">
        <v>155</v>
      </c>
    </row>
    <row r="16" spans="1:3" x14ac:dyDescent="0.25">
      <c r="A16" t="s">
        <v>1200</v>
      </c>
      <c r="B16" s="78" t="str">
        <f>IF(DCF!B4&lt;=Assumptions!$B$134,"PASS","FAIL")</f>
        <v>PASS</v>
      </c>
      <c r="C16" s="78" t="str">
        <f>"g of "&amp;TEXT(DCF!B4,"0.0%")&amp;" vs Rf "&amp;TEXT(Assumptions!B134,"0.0%")&amp;". g below Rf does NOT imply real decline; real decline needs g below inflation ("&amp;TEXT(Assumptions!B145,"0.0%")&amp;"), so real g ≈ "&amp;TEXT((1+DCF!B4)/(1+Assumptions!B145)-1,"0.0%")&amp;"."</f>
        <v>g of 5.0% vs Rf 6.8%. g below Rf does NOT imply real decline; real decline needs g below inflation (4.5%), so real g ≈ 0.5%.</v>
      </c>
    </row>
    <row r="17" spans="1:3" x14ac:dyDescent="0.25">
      <c r="A17" t="s">
        <v>1201</v>
      </c>
      <c r="B17" s="428" t="str">
        <f>IF(DCF!B37&lt;=0.75,"PASS","REVIEW — "&amp;TEXT(DCF!B37,"0.0%")&amp;" of EV")</f>
        <v>REVIEW — 117.8% of EV</v>
      </c>
      <c r="C17" s="78" t="str">
        <f>"Terminal value is "&amp;TEXT(DCF!B37,"0%")&amp;" of EV because explicit-period FCFF has a PV of "&amp;TEXT(DCF!B24,"#,##0")&amp;" Cr."</f>
        <v>Terminal value is 118% of EV because explicit-period FCFF has a PV of -12,637 Cr.</v>
      </c>
    </row>
    <row r="18" spans="1:3" x14ac:dyDescent="0.25">
      <c r="A18" t="s">
        <v>1202</v>
      </c>
      <c r="B18" s="78" t="str">
        <f>IF(ABS(DCF!B32/SOTP!D17-1)&lt;=0.2,"PASS","FAIL — gap is "&amp;TEXT(SOTP!D17/DCF!B32-1,"0.0%"))</f>
        <v>FAIL — gap is 146.9%</v>
      </c>
      <c r="C18" s="78" t="str">
        <f>"DCF "&amp;TEXT(DCF!B32,"0.00")&amp;" vs SOTP "&amp;TEXT(SOTP!D17,"0.00")&amp;" (gap "&amp;TEXT(SOTP!D25,"0.00")&amp;"/sh). SOTP is now independent (calibration factor "&amp;TEXT(SOTP!D24,"0.00")&amp;"), so this check can and does fail."</f>
        <v>DCF 96.75 vs SOTP 238.90 (gap 142.15/sh). SOTP is now independent (calibration factor 1.00), so this check can and does fail.</v>
      </c>
    </row>
    <row r="19" spans="1:3" x14ac:dyDescent="0.25">
      <c r="A19" t="s">
        <v>1203</v>
      </c>
      <c r="B19" s="78" t="str">
        <f>IF(Reverse_DCF!B17&lt;=Reverse_DCF!B20,"PASS","REVIEW — above nominal GDP")</f>
        <v>REVIEW — above nominal GDP</v>
      </c>
      <c r="C19" s="78" t="str">
        <f>"The price requires "&amp;TEXT(Reverse_DCF!B17,"0.00%")&amp;" in perpetuity against assumed nominal GDP of "&amp;TEXT(Reverse_DCF!B20,"0.0%")&amp;". Inside the bound, but only just — there is no valuation cushion at this price."</f>
        <v>The price requires 11.31% in perpetuity against assumed nominal GDP of 10.5%. Inside the bound, but only just — there is no valuation cushion at this price.</v>
      </c>
    </row>
    <row r="20" spans="1:3" x14ac:dyDescent="0.25">
      <c r="A20" t="s">
        <v>1204</v>
      </c>
      <c r="B20" s="78" t="str">
        <f>IF(Ratios!O33&gt;0,"PASS","FAIL")</f>
        <v>PASS</v>
      </c>
      <c r="C20" s="78" t="str">
        <f>"Crossover occurs in "&amp;Variant_View!C22&amp;". Four years of negative economic spread before value creation begins."</f>
        <v>Crossover occurs in FY2032E. Four years of negative economic spread before value creation begins.</v>
      </c>
    </row>
    <row r="21" spans="1:3" x14ac:dyDescent="0.25">
      <c r="B21" s="248"/>
    </row>
    <row r="22" spans="1:3" x14ac:dyDescent="0.25">
      <c r="A22" s="57" t="s">
        <v>1205</v>
      </c>
      <c r="B22" s="249" t="s">
        <v>494</v>
      </c>
      <c r="C22" s="57" t="s">
        <v>155</v>
      </c>
    </row>
    <row r="23" spans="1:3" x14ac:dyDescent="0.25">
      <c r="A23" t="s">
        <v>1206</v>
      </c>
      <c r="B23" s="78" t="str">
        <f>IF(Scenarios!B45="PASS","PASS","FAIL")</f>
        <v>PASS</v>
      </c>
      <c r="C23" t="s">
        <v>1616</v>
      </c>
    </row>
    <row r="24" spans="1:3" x14ac:dyDescent="0.25">
      <c r="A24" t="s">
        <v>1207</v>
      </c>
      <c r="B24" s="78" t="str">
        <f>IF(Scenarios!B46="PASS","PASS","FAIL")</f>
        <v>PASS</v>
      </c>
      <c r="C24" t="s">
        <v>1208</v>
      </c>
    </row>
    <row r="25" spans="1:3" x14ac:dyDescent="0.25">
      <c r="A25" t="s">
        <v>1209</v>
      </c>
      <c r="B25" s="78" t="str">
        <f>IF(Scenarios!B40="PASS","PASS","FAIL")</f>
        <v>PASS</v>
      </c>
      <c r="C25" s="78" t="str">
        <f>"Currently "&amp;TEXT(Scenarios!B39,"0%")&amp;" bear, "&amp;TEXT(Scenarios!C39,"0%")&amp;" base, "&amp;TEXT(Scenarios!D39,"0%")&amp;" bull. These are judgements, not facts — change them on the Scenarios tab."</f>
        <v>Currently 30% bear, 45% base, 25% bull. These are judgements, not facts — change them on the Scenarios tab.</v>
      </c>
    </row>
    <row r="26" spans="1:3" x14ac:dyDescent="0.25">
      <c r="A26" t="s">
        <v>1210</v>
      </c>
      <c r="B26" s="248" t="s">
        <v>1450</v>
      </c>
      <c r="C26" t="s">
        <v>1566</v>
      </c>
    </row>
    <row r="27" spans="1:3" x14ac:dyDescent="0.25">
      <c r="B27" s="248"/>
    </row>
    <row r="28" spans="1:3" x14ac:dyDescent="0.25">
      <c r="A28" s="57" t="s">
        <v>1590</v>
      </c>
      <c r="B28" s="249" t="s">
        <v>494</v>
      </c>
      <c r="C28" s="57" t="s">
        <v>155</v>
      </c>
    </row>
    <row r="29" spans="1:3" x14ac:dyDescent="0.25">
      <c r="A29" t="s">
        <v>1567</v>
      </c>
      <c r="B29" s="78" t="str">
        <f>IF(ISNUMBER('Beta Calc'!B17),"PASS","FAIL — no regression run; placeholder beta")</f>
        <v>FAIL — no regression run; placeholder beta</v>
      </c>
      <c r="C29" s="78" t="str">
        <f>"Raw beta "&amp;TEXT(Assumptions!B154,"0.00")&amp;" is a placeholder (Assumptions!B154). Regression block deleted; peer betas unsourced."</f>
        <v>Raw beta 1.22 is a placeholder (Assumptions!B154). Regression block deleted; peer betas unsourced.</v>
      </c>
    </row>
    <row r="30" spans="1:3" x14ac:dyDescent="0.25">
      <c r="A30" t="s">
        <v>1418</v>
      </c>
      <c r="B30" s="78" t="str">
        <f>IF(SOTP!D24&lt;&gt;1,"FAIL — calibration on",IF(COUNTIF(Comparable!G26:G29,"MANUAL*")&gt;0,"MANUAL – OPEN","PASS"))</f>
        <v>MANUAL – OPEN</v>
      </c>
      <c r="C30" s="78" t="str">
        <f>"SOTP multiples = peer median EV/NOV "&amp;TEXT(Comparable!E30,"0.00")&amp;"x (Comparable rows 26–30). Open until peer EVs and price dates are verified."</f>
        <v>SOTP multiples = peer median EV/NOV 0.84x (Comparable rows 26–30). Open until peer EVs and price dates are verified.</v>
      </c>
    </row>
    <row r="31" spans="1:3" x14ac:dyDescent="0.25">
      <c r="A31" t="s">
        <v>1568</v>
      </c>
      <c r="B31" s="78" t="str">
        <f>IF(SUMPRODUCT(ABS('Revenue Schedule'!G42:N42-'Revenue Schedule'!G45:N45*'Revenue Schedule'!G48:N48))&lt;0.01,"PASS","FAIL")</f>
        <v>PASS</v>
      </c>
      <c r="C31" t="s">
        <v>1569</v>
      </c>
    </row>
    <row r="32" spans="1:3" x14ac:dyDescent="0.25">
      <c r="A32" t="s">
        <v>1419</v>
      </c>
      <c r="B32" s="248" t="s">
        <v>1450</v>
      </c>
      <c r="C32" s="78" t="str">
        <f>"Hyperpure gross margin steps from "&amp;TEXT(Assumptions!G72,"0.0%")&amp;" (FY26A) to "&amp;TEXT(Assumptions!H72,"0.0%")&amp;" (FY27E) with no stated cause (Assumptions!P72)."</f>
        <v>Hyperpure gross margin steps from 5.1% (FY26A) to 12.0% (FY27E) with no stated cause (Assumptions!P72).</v>
      </c>
    </row>
    <row r="33" spans="1:3" x14ac:dyDescent="0.25">
      <c r="A33" t="s">
        <v>1211</v>
      </c>
      <c r="B33" s="248" t="s">
        <v>1450</v>
      </c>
      <c r="C33" s="78" t="str">
        <f>"Store economics: "&amp;TEXT(OpMetrics!C30,"0.00")&amp;" Cr invested per store, payback "&amp;TEXT(OpMetrics!C53,"0.0")&amp;" years, post-tax return "&amp;TEXT(OpMetrics!C42,"0%")&amp;" — implausibly high; not yet fed back into throughput or margins (optional item)."</f>
        <v>Store economics: 5.76 Cr invested per store, payback 2.6 years, post-tax return 41% — implausibly high; not yet fed back into throughput or margins (optional item).</v>
      </c>
    </row>
    <row r="34" spans="1:3" x14ac:dyDescent="0.25">
      <c r="A34" t="s">
        <v>1370</v>
      </c>
      <c r="B34" s="78" t="str">
        <f>IF(SUMPRODUCT(ABS(Assumptions!H29:O29+Assumptions!H30:O30-Assumptions!H16:O16))&lt;0.5,"PASS","FAIL")</f>
        <v>PASS</v>
      </c>
      <c r="C34" s="78" t="str">
        <f>"FY2034E splits "&amp;TEXT(Assumptions!O30,"#,##0")&amp;" COCO and "&amp;TEXT(Assumptions!O29,"#,##0")&amp;" FOCO against a total of "&amp;TEXT(Assumptions!O16,"#,##0")&amp;", or "&amp;TEXT(Assumptions!O29/Assumptions!O16,"0%")&amp;" partner-operated. COCO is the residual against the total and the nil-check on Assumptions row 27 confirms it moves only by net new COCO adds."</f>
        <v>FY2034E splits 6,671 COCO and 6,672 FOCO against a total of 13,343, or 50% partner-operated. COCO is the residual against the total and the nil-check on Assumptions row 27 confirms it moves only by net new COCO adds.</v>
      </c>
    </row>
    <row r="36" spans="1:3" x14ac:dyDescent="0.25">
      <c r="A36" s="3" t="s">
        <v>1570</v>
      </c>
    </row>
    <row r="37" spans="1:3" x14ac:dyDescent="0.25">
      <c r="A37" t="s">
        <v>1571</v>
      </c>
      <c r="B37" s="78" t="str">
        <f>IF(SUMPRODUCT(ABS('Revenue Schedule'!G66:N66-Assumptions!H20:O20))&lt;0.01,"PASS","FAIL")</f>
        <v>PASS</v>
      </c>
      <c r="C37" t="s">
        <v>1572</v>
      </c>
    </row>
    <row r="38" spans="1:3" x14ac:dyDescent="0.25">
      <c r="A38" t="s">
        <v>1573</v>
      </c>
      <c r="B38" s="78" t="str">
        <f>IF(COUNT(Assumptions!H40:O40)=0,"PASS","FAIL")</f>
        <v>PASS</v>
      </c>
      <c r="C38" t="s">
        <v>1574</v>
      </c>
    </row>
    <row r="39" spans="1:3" x14ac:dyDescent="0.25">
      <c r="A39" t="s">
        <v>1575</v>
      </c>
      <c r="B39" s="78" t="str">
        <f>IF(SUMPRODUCT(ABS(CFS!H10:O10-'ESOP Schedule'!G5:N5))&lt;0.01,"PASS","FAIL")</f>
        <v>PASS</v>
      </c>
      <c r="C39" t="s">
        <v>1576</v>
      </c>
    </row>
    <row r="40" spans="1:3" x14ac:dyDescent="0.25">
      <c r="A40" t="s">
        <v>1577</v>
      </c>
      <c r="B40" s="78" t="str">
        <f>IF(SUMPRODUCT(ABS(FA_Schedule!G21:N21-Lease_Schedule!H8:O8))+SUMPRODUCT(ABS(FA_Schedule!G23:N23-Lease_Schedule!H10:O10))&lt;0.01,"PASS","FAIL")</f>
        <v>PASS</v>
      </c>
      <c r="C40" t="s">
        <v>1578</v>
      </c>
    </row>
    <row r="41" spans="1:3" x14ac:dyDescent="0.25">
      <c r="A41" t="s">
        <v>1579</v>
      </c>
      <c r="B41" s="78" t="str">
        <f>IF(MAX(INDEX(ABS(IS!D18:O18),0))&lt;0.01,"PASS","FAIL")</f>
        <v>PASS</v>
      </c>
      <c r="C41" t="s">
        <v>1580</v>
      </c>
    </row>
    <row r="42" spans="1:3" x14ac:dyDescent="0.25">
      <c r="A42" t="s">
        <v>1581</v>
      </c>
      <c r="B42" s="78" t="str">
        <f>IF(ABS(IS!D59)&lt;0.5,"PASS","FAIL — "&amp;TEXT(IS!D59,"#,##0")&amp;" Cr (FY23 SBP and rent inputs missing)")</f>
        <v>FAIL — -427 Cr (FY23 SBP and rent inputs missing)</v>
      </c>
      <c r="C42" t="s">
        <v>1582</v>
      </c>
    </row>
    <row r="43" spans="1:3" x14ac:dyDescent="0.25">
      <c r="A43" t="s">
        <v>1583</v>
      </c>
      <c r="B43" s="78" t="str">
        <f>IF(SOTP!D24=1,"PASS","FAIL")</f>
        <v>PASS</v>
      </c>
      <c r="C43" t="s">
        <v>1584</v>
      </c>
    </row>
    <row r="44" spans="1:3" x14ac:dyDescent="0.25">
      <c r="A44" t="s">
        <v>1585</v>
      </c>
      <c r="B44" s="78" t="str">
        <f>IF(MIN(Tax_Schedule!H8:O8)&gt;=0,"PASS","FAIL")</f>
        <v>PASS</v>
      </c>
      <c r="C44" t="s">
        <v>1586</v>
      </c>
    </row>
    <row r="45" spans="1:3" x14ac:dyDescent="0.25">
      <c r="A45" t="s">
        <v>1587</v>
      </c>
      <c r="B45" s="78" t="str">
        <f>IF((COUNTIF(Cover!A1:Z250,"*MANUAL – OPEN*")+COUNTIF(Index!A1:Z250,"*MANUAL – OPEN*")+COUNTIF(Assumptions!A1:Z250,"*MANUAL – OPEN*")+COUNTIF('Revenue Schedule'!A1:Z250,"*MANUAL – OPEN*")+COUNTIF('Cost Schedule'!A1:Z250,"*MANUAL – OPEN*")+COUNTIF(IS!A1:Z250,"*MANUAL – OPEN*")+COUNTIF(FA_Schedule!A1:Z250,"*MANUAL – OPEN*")+COUNTIF(Lease_Schedule!A1:Z250,"*MANUAL – OPEN*")+COUNTIF(Tax_Schedule!A1:Z250,"*MANUAL – OPEN*")+COUNTIF(WC_Schedule!A1:Z250,"*MANUAL – OPEN*")+COUNTIF('Other Income Schedule '!A1:Z250,"*MANUAL – OPEN*")+COUNTIF('ESOP Schedule'!A1:Z250,"*MANUAL – OPEN*")+COUNTIF(BS!A1:Z250,"*MANUAL – OPEN*")+COUNTIF(CFS!A1:Z250,"*MANUAL – OPEN*")+COUNTIF(OpMetrics!A1:Z250,"*MANUAL – OPEN*")+COUNTIF(Ratios!A1:Z250,"*MANUAL – OPEN*")+COUNTIF('ERP &amp; Rf'!A1:Z250,"*MANUAL – OPEN*")+COUNTIF('Beta Calc'!A1:Z250,"*MANUAL – OPEN*")+COUNTIF('Share Count &amp; Dilution'!A1:Z250,"*MANUAL – OPEN*")+COUNTIF(DCF!A1:Z250,"*MANUAL – OPEN*")+COUNTIF(SOTP!A1:Z250,"*MANUAL – OPEN*")+COUNTIF(Sensitivity!A1:Z250,"*MANUAL – OPEN*")+COUNTIF(Scenarios!A1:Z250,"*MANUAL – OPEN*")+COUNTIF(Dashboard!A1:Z250,"*MANUAL – OPEN*")+COUNTIF(Memo!A1:Z250,"*MANUAL – OPEN*")+COUNTIF(Variant_View!A1:Z250,"*MANUAL – OPEN*")+COUNTIF(Reverse_DCF!A1:Z250,"*MANUAL – OPEN*")+COUNTIF(Comparable!A1:Z250,"*MANUAL – OPEN*")+COUNTIF(Data_Sources!A1:Z250,"*MANUAL – OPEN*"))=0,"PASS","MANUAL – OPEN ("&amp;(COUNTIF(Cover!A1:Z250,"*MANUAL – OPEN*")+COUNTIF(Index!A1:Z250,"*MANUAL – OPEN*")+COUNTIF(Assumptions!A1:Z250,"*MANUAL – OPEN*")+COUNTIF('Revenue Schedule'!A1:Z250,"*MANUAL – OPEN*")+COUNTIF('Cost Schedule'!A1:Z250,"*MANUAL – OPEN*")+COUNTIF(IS!A1:Z250,"*MANUAL – OPEN*")+COUNTIF(FA_Schedule!A1:Z250,"*MANUAL – OPEN*")+COUNTIF(Lease_Schedule!A1:Z250,"*MANUAL – OPEN*")+COUNTIF(Tax_Schedule!A1:Z250,"*MANUAL – OPEN*")+COUNTIF(WC_Schedule!A1:Z250,"*MANUAL – OPEN*")+COUNTIF('Other Income Schedule '!A1:Z250,"*MANUAL – OPEN*")+COUNTIF('ESOP Schedule'!A1:Z250,"*MANUAL – OPEN*")+COUNTIF(BS!A1:Z250,"*MANUAL – OPEN*")+COUNTIF(CFS!A1:Z250,"*MANUAL – OPEN*")+COUNTIF(OpMetrics!A1:Z250,"*MANUAL – OPEN*")+COUNTIF(Ratios!A1:Z250,"*MANUAL – OPEN*")+COUNTIF('ERP &amp; Rf'!A1:Z250,"*MANUAL – OPEN*")+COUNTIF('Beta Calc'!A1:Z250,"*MANUAL – OPEN*")+COUNTIF('Share Count &amp; Dilution'!A1:Z250,"*MANUAL – OPEN*")+COUNTIF(DCF!A1:Z250,"*MANUAL – OPEN*")+COUNTIF(SOTP!A1:Z250,"*MANUAL – OPEN*")+COUNTIF(Sensitivity!A1:Z250,"*MANUAL – OPEN*")+COUNTIF(Scenarios!A1:Z250,"*MANUAL – OPEN*")+COUNTIF(Dashboard!A1:Z250,"*MANUAL – OPEN*")+COUNTIF(Memo!A1:Z250,"*MANUAL – OPEN*")+COUNTIF(Variant_View!A1:Z250,"*MANUAL – OPEN*")+COUNTIF(Reverse_DCF!A1:Z250,"*MANUAL – OPEN*")+COUNTIF(Comparable!A1:Z250,"*MANUAL – OPEN*")+COUNTIF(Data_Sources!A1:Z250,"*MANUAL – OPEN*"))&amp;" cells)")</f>
        <v>MANUAL – OPEN (68 cells)</v>
      </c>
      <c r="C45" t="s">
        <v>1588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7B8C-7222-4305-A2C7-0C3BC5D925C6}">
  <dimension ref="A1:M83"/>
  <sheetViews>
    <sheetView workbookViewId="0"/>
  </sheetViews>
  <sheetFormatPr defaultRowHeight="15" x14ac:dyDescent="0.25"/>
  <cols>
    <col min="1" max="1" width="38.140625" customWidth="1"/>
    <col min="2" max="2" width="36.140625" customWidth="1"/>
    <col min="3" max="3" width="43.85546875" customWidth="1"/>
    <col min="4" max="4" width="49.5703125" customWidth="1"/>
    <col min="5" max="5" width="45.7109375" customWidth="1"/>
  </cols>
  <sheetData>
    <row r="1" spans="1:5" ht="17.25" x14ac:dyDescent="0.3">
      <c r="A1" s="250" t="s">
        <v>1621</v>
      </c>
    </row>
    <row r="3" spans="1:5" x14ac:dyDescent="0.25">
      <c r="A3" s="3" t="s">
        <v>1622</v>
      </c>
    </row>
    <row r="4" spans="1:5" x14ac:dyDescent="0.25">
      <c r="A4" s="212" t="s">
        <v>1623</v>
      </c>
      <c r="B4" s="212" t="s">
        <v>1624</v>
      </c>
      <c r="C4" s="212" t="s">
        <v>1625</v>
      </c>
      <c r="D4" s="212" t="s">
        <v>1626</v>
      </c>
      <c r="E4" s="212" t="s">
        <v>1627</v>
      </c>
    </row>
    <row r="5" spans="1:5" ht="30" x14ac:dyDescent="0.25">
      <c r="A5" s="24">
        <v>1</v>
      </c>
      <c r="B5" s="24" t="s">
        <v>1628</v>
      </c>
      <c r="C5" s="24" t="s">
        <v>1629</v>
      </c>
      <c r="D5" s="24" t="s">
        <v>1644</v>
      </c>
      <c r="E5" s="24" t="s">
        <v>1630</v>
      </c>
    </row>
    <row r="6" spans="1:5" ht="30" x14ac:dyDescent="0.25">
      <c r="A6" s="24">
        <v>1</v>
      </c>
      <c r="B6" s="24" t="s">
        <v>1631</v>
      </c>
      <c r="C6" s="24" t="s">
        <v>1632</v>
      </c>
      <c r="D6" s="24" t="s">
        <v>1645</v>
      </c>
      <c r="E6" s="24" t="s">
        <v>1633</v>
      </c>
    </row>
    <row r="7" spans="1:5" ht="45" x14ac:dyDescent="0.25">
      <c r="A7" s="24">
        <v>2</v>
      </c>
      <c r="B7" s="24" t="s">
        <v>1634</v>
      </c>
      <c r="C7" s="24" t="s">
        <v>1635</v>
      </c>
      <c r="D7" s="24" t="s">
        <v>1646</v>
      </c>
      <c r="E7" s="24" t="s">
        <v>1637</v>
      </c>
    </row>
    <row r="8" spans="1:5" ht="30" x14ac:dyDescent="0.25">
      <c r="A8" s="24">
        <v>3</v>
      </c>
      <c r="B8" s="24" t="s">
        <v>1647</v>
      </c>
      <c r="C8" s="24" t="s">
        <v>1639</v>
      </c>
      <c r="D8" s="24" t="s">
        <v>1648</v>
      </c>
      <c r="E8" s="24" t="s">
        <v>1641</v>
      </c>
    </row>
    <row r="9" spans="1:5" x14ac:dyDescent="0.25">
      <c r="A9" s="24">
        <v>4</v>
      </c>
      <c r="B9" s="24" t="s">
        <v>1642</v>
      </c>
      <c r="C9" s="24" t="s">
        <v>1643</v>
      </c>
      <c r="D9" s="24" t="s">
        <v>1649</v>
      </c>
      <c r="E9" s="24" t="s">
        <v>1650</v>
      </c>
    </row>
    <row r="10" spans="1:5" ht="45" x14ac:dyDescent="0.25">
      <c r="A10" s="24">
        <v>4</v>
      </c>
      <c r="B10" s="24" t="s">
        <v>1651</v>
      </c>
      <c r="C10" s="24" t="s">
        <v>1652</v>
      </c>
      <c r="D10" s="24" t="s">
        <v>1653</v>
      </c>
      <c r="E10" s="24" t="s">
        <v>1654</v>
      </c>
    </row>
    <row r="11" spans="1:5" ht="30" x14ac:dyDescent="0.25">
      <c r="A11" s="24">
        <v>4</v>
      </c>
      <c r="B11" s="24" t="s">
        <v>1655</v>
      </c>
      <c r="C11" s="24" t="s">
        <v>1656</v>
      </c>
      <c r="D11" s="24" t="s">
        <v>1657</v>
      </c>
      <c r="E11" s="24" t="s">
        <v>1658</v>
      </c>
    </row>
    <row r="12" spans="1:5" ht="30" x14ac:dyDescent="0.25">
      <c r="A12" s="24">
        <v>4</v>
      </c>
      <c r="B12" s="24" t="s">
        <v>1659</v>
      </c>
      <c r="C12" s="24" t="s">
        <v>1660</v>
      </c>
      <c r="D12" s="24" t="s">
        <v>1661</v>
      </c>
      <c r="E12" s="24" t="s">
        <v>1662</v>
      </c>
    </row>
    <row r="13" spans="1:5" ht="30" x14ac:dyDescent="0.25">
      <c r="A13" s="24">
        <v>4</v>
      </c>
      <c r="B13" s="24" t="s">
        <v>1663</v>
      </c>
      <c r="C13" s="24" t="s">
        <v>1664</v>
      </c>
      <c r="D13" s="24" t="s">
        <v>1665</v>
      </c>
      <c r="E13" s="24" t="s">
        <v>1666</v>
      </c>
    </row>
    <row r="14" spans="1:5" ht="45" x14ac:dyDescent="0.25">
      <c r="A14" s="24">
        <v>4</v>
      </c>
      <c r="B14" s="24" t="s">
        <v>1667</v>
      </c>
      <c r="C14" s="24" t="s">
        <v>1668</v>
      </c>
      <c r="D14" s="24" t="s">
        <v>1669</v>
      </c>
      <c r="E14" s="24" t="s">
        <v>1670</v>
      </c>
    </row>
    <row r="15" spans="1:5" ht="45" x14ac:dyDescent="0.25">
      <c r="A15" s="24">
        <v>5</v>
      </c>
      <c r="B15" s="24" t="s">
        <v>1671</v>
      </c>
      <c r="C15" s="24" t="s">
        <v>1672</v>
      </c>
      <c r="D15" s="24" t="s">
        <v>1673</v>
      </c>
      <c r="E15" s="24" t="s">
        <v>1674</v>
      </c>
    </row>
    <row r="16" spans="1:5" ht="30" x14ac:dyDescent="0.25">
      <c r="A16" s="24">
        <v>5</v>
      </c>
      <c r="B16" s="24" t="s">
        <v>1675</v>
      </c>
      <c r="C16" s="24" t="s">
        <v>1676</v>
      </c>
      <c r="D16" s="24" t="s">
        <v>1677</v>
      </c>
      <c r="E16" s="24" t="s">
        <v>1678</v>
      </c>
    </row>
    <row r="17" spans="1:5" ht="30" x14ac:dyDescent="0.25">
      <c r="A17" s="24">
        <v>5</v>
      </c>
      <c r="B17" s="24" t="s">
        <v>1679</v>
      </c>
      <c r="C17" s="24" t="s">
        <v>1680</v>
      </c>
      <c r="D17" s="24" t="s">
        <v>1681</v>
      </c>
      <c r="E17" s="24" t="s">
        <v>1682</v>
      </c>
    </row>
    <row r="18" spans="1:5" ht="30" x14ac:dyDescent="0.25">
      <c r="A18" s="24">
        <v>6</v>
      </c>
      <c r="B18" s="24" t="s">
        <v>1683</v>
      </c>
      <c r="C18" s="24" t="s">
        <v>1684</v>
      </c>
      <c r="D18" s="24" t="s">
        <v>1685</v>
      </c>
      <c r="E18" s="24" t="s">
        <v>1686</v>
      </c>
    </row>
    <row r="19" spans="1:5" ht="30" x14ac:dyDescent="0.25">
      <c r="A19" s="24">
        <v>6</v>
      </c>
      <c r="B19" s="24" t="s">
        <v>1687</v>
      </c>
      <c r="C19" s="24" t="s">
        <v>1688</v>
      </c>
      <c r="D19" s="24" t="s">
        <v>1689</v>
      </c>
      <c r="E19" s="24" t="s">
        <v>1690</v>
      </c>
    </row>
    <row r="20" spans="1:5" ht="30" x14ac:dyDescent="0.25">
      <c r="A20" s="24">
        <v>7</v>
      </c>
      <c r="B20" s="24" t="s">
        <v>1691</v>
      </c>
      <c r="C20" s="24" t="s">
        <v>1692</v>
      </c>
      <c r="D20" s="24" t="s">
        <v>1693</v>
      </c>
      <c r="E20" s="24" t="s">
        <v>1694</v>
      </c>
    </row>
    <row r="21" spans="1:5" ht="30" x14ac:dyDescent="0.25">
      <c r="A21" s="24">
        <v>7</v>
      </c>
      <c r="B21" s="24" t="s">
        <v>1695</v>
      </c>
      <c r="C21" s="24" t="s">
        <v>1696</v>
      </c>
      <c r="D21" s="24" t="s">
        <v>1697</v>
      </c>
      <c r="E21" s="24" t="s">
        <v>1698</v>
      </c>
    </row>
    <row r="22" spans="1:5" x14ac:dyDescent="0.25">
      <c r="A22" s="24">
        <v>7</v>
      </c>
      <c r="B22" s="24" t="s">
        <v>1699</v>
      </c>
      <c r="C22" s="24" t="s">
        <v>1700</v>
      </c>
      <c r="D22" s="24" t="s">
        <v>1701</v>
      </c>
      <c r="E22" s="24" t="s">
        <v>1702</v>
      </c>
    </row>
    <row r="23" spans="1:5" ht="30" x14ac:dyDescent="0.25">
      <c r="A23" s="24">
        <v>8</v>
      </c>
      <c r="B23" s="24" t="s">
        <v>1703</v>
      </c>
      <c r="C23" s="24" t="s">
        <v>1704</v>
      </c>
      <c r="D23" s="24" t="s">
        <v>1705</v>
      </c>
      <c r="E23" s="24" t="s">
        <v>1706</v>
      </c>
    </row>
    <row r="24" spans="1:5" ht="30" x14ac:dyDescent="0.25">
      <c r="A24" s="24">
        <v>8</v>
      </c>
      <c r="B24" s="24" t="s">
        <v>1707</v>
      </c>
      <c r="C24" s="24" t="s">
        <v>1708</v>
      </c>
      <c r="D24" s="24" t="s">
        <v>1709</v>
      </c>
      <c r="E24" s="24" t="s">
        <v>1710</v>
      </c>
    </row>
    <row r="25" spans="1:5" ht="30" x14ac:dyDescent="0.25">
      <c r="A25" s="24">
        <v>8</v>
      </c>
      <c r="B25" s="24" t="s">
        <v>1711</v>
      </c>
      <c r="C25" s="24" t="s">
        <v>1712</v>
      </c>
      <c r="D25" s="24" t="s">
        <v>1713</v>
      </c>
      <c r="E25" s="24" t="s">
        <v>1714</v>
      </c>
    </row>
    <row r="26" spans="1:5" ht="75" x14ac:dyDescent="0.25">
      <c r="A26" s="24">
        <v>8</v>
      </c>
      <c r="B26" s="24" t="s">
        <v>1715</v>
      </c>
      <c r="C26" s="24" t="s">
        <v>1716</v>
      </c>
      <c r="D26" s="24" t="s">
        <v>1717</v>
      </c>
      <c r="E26" s="24" t="s">
        <v>1718</v>
      </c>
    </row>
    <row r="27" spans="1:5" ht="30" x14ac:dyDescent="0.25">
      <c r="A27" s="24">
        <v>8</v>
      </c>
      <c r="B27" s="24" t="s">
        <v>1719</v>
      </c>
      <c r="C27" s="24" t="s">
        <v>1720</v>
      </c>
      <c r="D27" s="24" t="s">
        <v>1721</v>
      </c>
      <c r="E27" s="24" t="s">
        <v>1834</v>
      </c>
    </row>
    <row r="28" spans="1:5" x14ac:dyDescent="0.25">
      <c r="A28" s="24">
        <v>8</v>
      </c>
      <c r="B28" s="24" t="s">
        <v>1722</v>
      </c>
      <c r="C28" s="24" t="s">
        <v>1723</v>
      </c>
      <c r="D28" s="24" t="s">
        <v>1724</v>
      </c>
      <c r="E28" s="24" t="s">
        <v>1725</v>
      </c>
    </row>
    <row r="29" spans="1:5" ht="30" x14ac:dyDescent="0.25">
      <c r="A29" s="24">
        <v>9</v>
      </c>
      <c r="B29" s="24" t="s">
        <v>1726</v>
      </c>
      <c r="C29" s="24" t="s">
        <v>1727</v>
      </c>
      <c r="D29" s="24" t="s">
        <v>1728</v>
      </c>
      <c r="E29" s="24" t="s">
        <v>1729</v>
      </c>
    </row>
    <row r="30" spans="1:5" ht="60" x14ac:dyDescent="0.25">
      <c r="A30" s="24">
        <v>9</v>
      </c>
      <c r="B30" s="24" t="s">
        <v>1730</v>
      </c>
      <c r="C30" s="24" t="s">
        <v>1731</v>
      </c>
      <c r="D30" s="24" t="s">
        <v>1732</v>
      </c>
      <c r="E30" s="24" t="s">
        <v>1733</v>
      </c>
    </row>
    <row r="31" spans="1:5" x14ac:dyDescent="0.25">
      <c r="A31" s="24">
        <v>9</v>
      </c>
      <c r="B31" s="24" t="s">
        <v>1734</v>
      </c>
      <c r="C31" s="24" t="s">
        <v>1735</v>
      </c>
      <c r="D31" s="24" t="s">
        <v>1736</v>
      </c>
      <c r="E31" s="24" t="s">
        <v>1737</v>
      </c>
    </row>
    <row r="32" spans="1:5" ht="30" x14ac:dyDescent="0.25">
      <c r="A32" s="24">
        <v>9</v>
      </c>
      <c r="B32" s="24" t="s">
        <v>1738</v>
      </c>
      <c r="C32" s="24" t="s">
        <v>1739</v>
      </c>
      <c r="D32" s="24" t="s">
        <v>1740</v>
      </c>
      <c r="E32" s="24" t="s">
        <v>1718</v>
      </c>
    </row>
    <row r="33" spans="1:13" ht="60" x14ac:dyDescent="0.25">
      <c r="A33" s="24">
        <v>10</v>
      </c>
      <c r="B33" s="24" t="s">
        <v>1741</v>
      </c>
      <c r="C33" s="24" t="s">
        <v>1742</v>
      </c>
      <c r="D33" s="24" t="s">
        <v>1743</v>
      </c>
      <c r="E33" s="24" t="s">
        <v>1744</v>
      </c>
    </row>
    <row r="35" spans="1:13" x14ac:dyDescent="0.25">
      <c r="A35" s="3" t="s">
        <v>1745</v>
      </c>
    </row>
    <row r="36" spans="1:13" x14ac:dyDescent="0.25">
      <c r="A36" s="212" t="s">
        <v>1746</v>
      </c>
      <c r="B36" s="212" t="s">
        <v>1747</v>
      </c>
      <c r="C36" s="212" t="s">
        <v>1748</v>
      </c>
      <c r="D36" s="212" t="s">
        <v>1749</v>
      </c>
    </row>
    <row r="37" spans="1:13" x14ac:dyDescent="0.25">
      <c r="A37" t="s">
        <v>1750</v>
      </c>
      <c r="B37" s="430">
        <v>175.61</v>
      </c>
      <c r="C37" s="193">
        <f>DCF!B32</f>
        <v>96.751812952935552</v>
      </c>
      <c r="D37" s="270">
        <f>C37-B37</f>
        <v>-78.858187047064462</v>
      </c>
    </row>
    <row r="38" spans="1:13" x14ac:dyDescent="0.25">
      <c r="A38" t="s">
        <v>1006</v>
      </c>
      <c r="B38" s="430">
        <v>172.5</v>
      </c>
      <c r="C38" s="193">
        <f>SOTP!D17</f>
        <v>238.90426881334955</v>
      </c>
      <c r="D38" s="270">
        <f>C38-B38</f>
        <v>66.404268813349546</v>
      </c>
    </row>
    <row r="39" spans="1:13" x14ac:dyDescent="0.25">
      <c r="A39" t="s">
        <v>1751</v>
      </c>
      <c r="B39" s="430">
        <v>204.21</v>
      </c>
      <c r="C39" s="193">
        <f>Scenarios!B41</f>
        <v>206.12668731326755</v>
      </c>
      <c r="D39" s="270">
        <f>C39-B39</f>
        <v>1.9166873132675448</v>
      </c>
    </row>
    <row r="40" spans="1:13" x14ac:dyDescent="0.25">
      <c r="A40" t="s">
        <v>69</v>
      </c>
      <c r="B40" s="430">
        <v>281</v>
      </c>
      <c r="C40" s="193">
        <f>Assumptions!B142</f>
        <v>281</v>
      </c>
      <c r="D40" s="270"/>
    </row>
    <row r="41" spans="1:13" x14ac:dyDescent="0.25">
      <c r="A41" t="s">
        <v>1752</v>
      </c>
      <c r="B41" s="33">
        <v>-0.375</v>
      </c>
      <c r="C41" s="189">
        <f>DCF!B34</f>
        <v>-0.65568749838812979</v>
      </c>
    </row>
    <row r="42" spans="1:13" x14ac:dyDescent="0.25">
      <c r="A42" t="s">
        <v>1753</v>
      </c>
      <c r="B42" s="33">
        <v>-0.38600000000000001</v>
      </c>
      <c r="C42" s="189">
        <f>SOTP!D19</f>
        <v>-0.14980687255035752</v>
      </c>
    </row>
    <row r="43" spans="1:13" x14ac:dyDescent="0.25">
      <c r="A43" t="s">
        <v>1754</v>
      </c>
      <c r="B43" s="33">
        <v>-0.27300000000000002</v>
      </c>
      <c r="C43" s="189">
        <f>Scenarios!B42</f>
        <v>-0.2664530700595461</v>
      </c>
    </row>
    <row r="44" spans="1:13" x14ac:dyDescent="0.25">
      <c r="A44" t="s">
        <v>1755</v>
      </c>
      <c r="B44" s="9" t="s">
        <v>1756</v>
      </c>
      <c r="C44" s="78" t="str">
        <f>Dashboard!B9</f>
        <v>AVOID / SELL — negative expected return</v>
      </c>
    </row>
    <row r="45" spans="1:13" x14ac:dyDescent="0.25">
      <c r="A45" t="s">
        <v>1757</v>
      </c>
      <c r="B45" t="s">
        <v>1758</v>
      </c>
      <c r="C45" s="78">
        <f>Checks!B5</f>
        <v>12</v>
      </c>
    </row>
    <row r="47" spans="1:13" x14ac:dyDescent="0.25">
      <c r="A47" s="3" t="s">
        <v>1759</v>
      </c>
    </row>
    <row r="48" spans="1:13" x14ac:dyDescent="0.25">
      <c r="A48" s="212" t="s">
        <v>1760</v>
      </c>
      <c r="B48" s="212" t="str">
        <f>BS!D2</f>
        <v>FY2023A</v>
      </c>
      <c r="C48" s="212" t="str">
        <f>BS!E2</f>
        <v>FY2024A</v>
      </c>
      <c r="D48" s="212" t="str">
        <f>BS!F2</f>
        <v>FY2025A</v>
      </c>
      <c r="E48" s="212" t="str">
        <f>BS!G2</f>
        <v>FY2026A</v>
      </c>
      <c r="F48" s="212" t="str">
        <f>BS!H2</f>
        <v>FY2027E</v>
      </c>
      <c r="G48" s="212" t="str">
        <f>BS!I2</f>
        <v>FY2028E</v>
      </c>
      <c r="H48" s="212" t="str">
        <f>BS!J2</f>
        <v>FY2029E</v>
      </c>
      <c r="I48" s="212" t="str">
        <f>BS!K2</f>
        <v>FY2030E</v>
      </c>
      <c r="J48" s="212" t="str">
        <f>BS!L2</f>
        <v>FY2031E</v>
      </c>
      <c r="K48" s="212" t="str">
        <f>BS!M2</f>
        <v>FY2032E</v>
      </c>
      <c r="L48" s="212" t="str">
        <f>BS!N2</f>
        <v>FY2033E</v>
      </c>
      <c r="M48" s="212" t="str">
        <f>BS!O2</f>
        <v>FY2034E</v>
      </c>
    </row>
    <row r="49" spans="1:13" x14ac:dyDescent="0.25">
      <c r="A49" t="s">
        <v>1761</v>
      </c>
      <c r="B49" s="431">
        <f>BS!D33</f>
        <v>0</v>
      </c>
      <c r="C49" s="431">
        <f>BS!E33</f>
        <v>0</v>
      </c>
      <c r="D49" s="431">
        <f>BS!F33</f>
        <v>0</v>
      </c>
      <c r="E49" s="431">
        <f>BS!G33</f>
        <v>15</v>
      </c>
      <c r="F49" s="431">
        <f>BS!H33</f>
        <v>15</v>
      </c>
      <c r="G49" s="431">
        <f>BS!I33</f>
        <v>15</v>
      </c>
      <c r="H49" s="431">
        <f>BS!J33</f>
        <v>15</v>
      </c>
      <c r="I49" s="431">
        <f>BS!K33</f>
        <v>15</v>
      </c>
      <c r="J49" s="431">
        <f>BS!L33</f>
        <v>15</v>
      </c>
      <c r="K49" s="431">
        <f>BS!M33</f>
        <v>15</v>
      </c>
      <c r="L49" s="431">
        <f>BS!N33</f>
        <v>15</v>
      </c>
      <c r="M49" s="431">
        <f>BS!O33</f>
        <v>15</v>
      </c>
    </row>
    <row r="50" spans="1:13" x14ac:dyDescent="0.25">
      <c r="A50" t="s">
        <v>1762</v>
      </c>
      <c r="B50" s="431">
        <f>BS!D34</f>
        <v>0</v>
      </c>
      <c r="C50" s="431">
        <f>BS!E34</f>
        <v>0</v>
      </c>
      <c r="D50" s="431">
        <f>BS!F34</f>
        <v>0</v>
      </c>
      <c r="E50" s="431">
        <f>BS!G34</f>
        <v>15</v>
      </c>
      <c r="F50" s="431">
        <f>BS!H34</f>
        <v>0</v>
      </c>
      <c r="G50" s="431">
        <f>BS!I34</f>
        <v>0</v>
      </c>
      <c r="H50" s="431">
        <f>BS!J34</f>
        <v>0</v>
      </c>
      <c r="I50" s="431">
        <f>BS!K34</f>
        <v>0</v>
      </c>
      <c r="J50" s="431">
        <f>BS!L34</f>
        <v>0</v>
      </c>
      <c r="K50" s="431">
        <f>BS!M34</f>
        <v>0</v>
      </c>
      <c r="L50" s="431">
        <f>BS!N34</f>
        <v>0</v>
      </c>
      <c r="M50" s="431">
        <f>BS!O34</f>
        <v>0</v>
      </c>
    </row>
    <row r="51" spans="1:13" x14ac:dyDescent="0.25">
      <c r="A51" t="s">
        <v>1763</v>
      </c>
      <c r="B51" s="432"/>
      <c r="C51" s="432"/>
      <c r="D51" s="432"/>
      <c r="E51" s="432"/>
      <c r="F51" s="432">
        <v>1257</v>
      </c>
      <c r="G51" s="432">
        <v>1546</v>
      </c>
      <c r="H51" s="432">
        <v>1837</v>
      </c>
      <c r="I51" s="432">
        <v>2136</v>
      </c>
      <c r="J51" s="432">
        <v>2436</v>
      </c>
      <c r="K51" s="432">
        <v>2716</v>
      </c>
      <c r="L51" s="432">
        <v>2965</v>
      </c>
      <c r="M51" s="432">
        <v>3169</v>
      </c>
    </row>
    <row r="53" spans="1:13" x14ac:dyDescent="0.25">
      <c r="A53" s="212" t="s">
        <v>1764</v>
      </c>
      <c r="B53" s="212" t="s">
        <v>1765</v>
      </c>
      <c r="C53" s="212" t="s">
        <v>1766</v>
      </c>
    </row>
    <row r="54" spans="1:13" ht="30" x14ac:dyDescent="0.25">
      <c r="A54" s="21" t="s">
        <v>1767</v>
      </c>
      <c r="B54" s="21" t="s">
        <v>1768</v>
      </c>
      <c r="C54" s="21" t="s">
        <v>1769</v>
      </c>
    </row>
    <row r="55" spans="1:13" x14ac:dyDescent="0.25">
      <c r="A55" s="21" t="s">
        <v>1770</v>
      </c>
      <c r="B55" s="21" t="s">
        <v>1771</v>
      </c>
      <c r="C55" s="21" t="s">
        <v>1772</v>
      </c>
    </row>
    <row r="56" spans="1:13" x14ac:dyDescent="0.25">
      <c r="A56" s="21" t="s">
        <v>1773</v>
      </c>
      <c r="B56" s="21" t="s">
        <v>1774</v>
      </c>
      <c r="C56" s="21" t="s">
        <v>1775</v>
      </c>
    </row>
    <row r="57" spans="1:13" x14ac:dyDescent="0.25">
      <c r="A57" s="21" t="s">
        <v>1776</v>
      </c>
      <c r="B57" s="21" t="s">
        <v>1777</v>
      </c>
      <c r="C57" s="21" t="s">
        <v>1778</v>
      </c>
    </row>
    <row r="58" spans="1:13" ht="30" x14ac:dyDescent="0.25">
      <c r="A58" s="21" t="s">
        <v>1779</v>
      </c>
      <c r="B58" s="21" t="s">
        <v>1780</v>
      </c>
      <c r="C58" s="21" t="s">
        <v>1781</v>
      </c>
    </row>
    <row r="59" spans="1:13" x14ac:dyDescent="0.25">
      <c r="A59" s="21" t="s">
        <v>1782</v>
      </c>
      <c r="B59" s="21" t="s">
        <v>1783</v>
      </c>
      <c r="C59" s="21" t="s">
        <v>1784</v>
      </c>
    </row>
    <row r="60" spans="1:13" ht="30" x14ac:dyDescent="0.25">
      <c r="A60" s="21" t="s">
        <v>1785</v>
      </c>
      <c r="B60" s="21" t="s">
        <v>1786</v>
      </c>
      <c r="C60" s="21" t="s">
        <v>1787</v>
      </c>
    </row>
    <row r="61" spans="1:13" ht="30" x14ac:dyDescent="0.25">
      <c r="A61" s="21" t="s">
        <v>1788</v>
      </c>
      <c r="B61" s="21" t="s">
        <v>1789</v>
      </c>
      <c r="C61" s="21" t="s">
        <v>1790</v>
      </c>
    </row>
    <row r="62" spans="1:13" ht="30" x14ac:dyDescent="0.25">
      <c r="A62" s="21" t="s">
        <v>1791</v>
      </c>
      <c r="B62" s="21" t="s">
        <v>1792</v>
      </c>
      <c r="C62" s="21" t="s">
        <v>1793</v>
      </c>
    </row>
    <row r="63" spans="1:13" x14ac:dyDescent="0.25">
      <c r="A63" s="21" t="s">
        <v>1794</v>
      </c>
      <c r="B63" s="21" t="s">
        <v>1795</v>
      </c>
      <c r="C63" s="21"/>
    </row>
    <row r="64" spans="1:13" x14ac:dyDescent="0.25">
      <c r="A64" s="21" t="s">
        <v>1796</v>
      </c>
      <c r="B64" s="21" t="s">
        <v>1797</v>
      </c>
      <c r="C64" s="21"/>
    </row>
    <row r="65" spans="1:3" x14ac:dyDescent="0.25">
      <c r="A65" s="21" t="s">
        <v>1798</v>
      </c>
      <c r="B65" s="21" t="s">
        <v>1799</v>
      </c>
      <c r="C65" s="21"/>
    </row>
    <row r="66" spans="1:3" ht="60" x14ac:dyDescent="0.25">
      <c r="A66" s="21" t="s">
        <v>1800</v>
      </c>
      <c r="B66" s="21" t="s">
        <v>1801</v>
      </c>
      <c r="C66" s="21"/>
    </row>
    <row r="67" spans="1:3" ht="30" x14ac:dyDescent="0.25">
      <c r="A67" s="21" t="s">
        <v>1802</v>
      </c>
      <c r="B67" s="21" t="s">
        <v>1803</v>
      </c>
      <c r="C67" s="21"/>
    </row>
    <row r="68" spans="1:3" ht="30" x14ac:dyDescent="0.25">
      <c r="A68" s="21" t="s">
        <v>1804</v>
      </c>
      <c r="B68" s="21" t="s">
        <v>1805</v>
      </c>
      <c r="C68" s="21"/>
    </row>
    <row r="69" spans="1:3" ht="30" x14ac:dyDescent="0.25">
      <c r="A69" s="21" t="s">
        <v>1806</v>
      </c>
      <c r="B69" s="21" t="s">
        <v>1807</v>
      </c>
      <c r="C69" s="21"/>
    </row>
    <row r="70" spans="1:3" ht="30" x14ac:dyDescent="0.25">
      <c r="A70" s="21" t="s">
        <v>1808</v>
      </c>
      <c r="B70" s="21" t="s">
        <v>1809</v>
      </c>
      <c r="C70" s="21"/>
    </row>
    <row r="71" spans="1:3" ht="30" x14ac:dyDescent="0.25">
      <c r="A71" s="21" t="s">
        <v>1810</v>
      </c>
      <c r="B71" s="21" t="s">
        <v>1811</v>
      </c>
      <c r="C71" s="21"/>
    </row>
    <row r="72" spans="1:3" ht="30" x14ac:dyDescent="0.25">
      <c r="A72" s="21" t="s">
        <v>1812</v>
      </c>
      <c r="B72" s="21" t="s">
        <v>1813</v>
      </c>
      <c r="C72" s="21"/>
    </row>
    <row r="73" spans="1:3" ht="30" x14ac:dyDescent="0.25">
      <c r="A73" s="21" t="s">
        <v>1814</v>
      </c>
      <c r="B73" s="21" t="s">
        <v>1815</v>
      </c>
      <c r="C73" s="21" t="s">
        <v>1816</v>
      </c>
    </row>
    <row r="74" spans="1:3" x14ac:dyDescent="0.25">
      <c r="A74" s="21" t="s">
        <v>1817</v>
      </c>
      <c r="B74" s="21" t="s">
        <v>1699</v>
      </c>
      <c r="C74" s="21"/>
    </row>
    <row r="75" spans="1:3" ht="30" x14ac:dyDescent="0.25">
      <c r="A75" s="21" t="s">
        <v>1818</v>
      </c>
      <c r="B75" s="21" t="s">
        <v>1819</v>
      </c>
      <c r="C75" s="21"/>
    </row>
    <row r="76" spans="1:3" x14ac:dyDescent="0.25">
      <c r="A76" s="21"/>
      <c r="B76" s="21"/>
      <c r="C76" s="21"/>
    </row>
    <row r="77" spans="1:3" ht="30" x14ac:dyDescent="0.25">
      <c r="A77" s="429" t="s">
        <v>1820</v>
      </c>
      <c r="B77" s="429" t="s">
        <v>1821</v>
      </c>
      <c r="C77" s="429" t="s">
        <v>1822</v>
      </c>
    </row>
    <row r="78" spans="1:3" ht="90" x14ac:dyDescent="0.25">
      <c r="A78" s="21" t="s">
        <v>1823</v>
      </c>
      <c r="B78" s="21">
        <v>3.5</v>
      </c>
      <c r="C78" s="21" t="s">
        <v>1824</v>
      </c>
    </row>
    <row r="79" spans="1:3" ht="90" x14ac:dyDescent="0.25">
      <c r="A79" s="21" t="s">
        <v>1825</v>
      </c>
      <c r="B79" s="21">
        <v>3.5</v>
      </c>
      <c r="C79" s="21" t="s">
        <v>1826</v>
      </c>
    </row>
    <row r="80" spans="1:3" ht="90" x14ac:dyDescent="0.25">
      <c r="A80" s="21" t="s">
        <v>1827</v>
      </c>
      <c r="B80" s="21">
        <v>3.5</v>
      </c>
      <c r="C80" s="21" t="s">
        <v>1828</v>
      </c>
    </row>
    <row r="81" spans="1:3" ht="75" x14ac:dyDescent="0.25">
      <c r="A81" s="21" t="s">
        <v>1829</v>
      </c>
      <c r="B81" s="21">
        <v>2.5</v>
      </c>
      <c r="C81" s="21" t="s">
        <v>1830</v>
      </c>
    </row>
    <row r="82" spans="1:3" ht="30" x14ac:dyDescent="0.25">
      <c r="A82" s="21" t="s">
        <v>1831</v>
      </c>
      <c r="B82" s="21" t="s">
        <v>1832</v>
      </c>
      <c r="C82" s="21" t="s">
        <v>1833</v>
      </c>
    </row>
    <row r="83" spans="1:3" x14ac:dyDescent="0.25">
      <c r="A83" s="21"/>
      <c r="B83" s="21"/>
      <c r="C83"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Cover</vt:lpstr>
      <vt:lpstr>Index</vt:lpstr>
      <vt:lpstr>Assumptions</vt:lpstr>
      <vt:lpstr>Revenue Schedule</vt:lpstr>
      <vt:lpstr>Cost Schedule</vt:lpstr>
      <vt:lpstr>IS</vt:lpstr>
      <vt:lpstr>FA_Schedule</vt:lpstr>
      <vt:lpstr>Lease_Schedule</vt:lpstr>
      <vt:lpstr>Tax_Schedule</vt:lpstr>
      <vt:lpstr>WC_Schedule</vt:lpstr>
      <vt:lpstr>Other Income Schedule </vt:lpstr>
      <vt:lpstr>ESOP Schedule</vt:lpstr>
      <vt:lpstr>BS</vt:lpstr>
      <vt:lpstr>CFS</vt:lpstr>
      <vt:lpstr>OpMetrics</vt:lpstr>
      <vt:lpstr>Ratios</vt:lpstr>
      <vt:lpstr>ERP &amp; Rf</vt:lpstr>
      <vt:lpstr>Beta Calc</vt:lpstr>
      <vt:lpstr>Share Count &amp; Dilution</vt:lpstr>
      <vt:lpstr>DCF</vt:lpstr>
      <vt:lpstr>SOTP</vt:lpstr>
      <vt:lpstr>Sensitivity</vt:lpstr>
      <vt:lpstr>Scenarios</vt:lpstr>
      <vt:lpstr>Dashboard</vt:lpstr>
      <vt:lpstr>Memo</vt:lpstr>
      <vt:lpstr>Variant_View</vt:lpstr>
      <vt:lpstr>Reverse_DCF</vt:lpstr>
      <vt:lpstr>Comparable</vt:lpstr>
      <vt:lpstr>Data_Sources</vt:lpstr>
      <vt:lpstr>Checks</vt:lpstr>
      <vt:lpstr>Change_Log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JAIN</dc:creator>
  <cp:lastModifiedBy>VIPUL JAIN</cp:lastModifiedBy>
  <dcterms:created xsi:type="dcterms:W3CDTF">2026-07-24T15:09:55Z</dcterms:created>
  <dcterms:modified xsi:type="dcterms:W3CDTF">2026-10-24T15:34:18Z</dcterms:modified>
</cp:coreProperties>
</file>